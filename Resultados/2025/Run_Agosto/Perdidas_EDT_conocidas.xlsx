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ypf-my.sharepoint.com/personal/ry32287_grupo_ypf_com/Documents/Documentos/Python Scripts/UPA/Resultados/"/>
    </mc:Choice>
  </mc:AlternateContent>
  <xr:revisionPtr revIDLastSave="14" documentId="11_23F921ED7C934952A76440B459628FC97462F9D5" xr6:coauthVersionLast="47" xr6:coauthVersionMax="47" xr10:uidLastSave="{F99563E9-4D2F-4643-BCC0-FCC2BDFD2512}"/>
  <bookViews>
    <workbookView xWindow="51480" yWindow="5235" windowWidth="29040" windowHeight="15720" activeTab="1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2" i="2"/>
  <c r="D1" i="2" a="1"/>
  <c r="D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<sst xmlns="http://schemas.openxmlformats.org/spreadsheetml/2006/main" count="1476" uniqueCount="141">
  <si>
    <t>NOMBRE_CORTO_POZO</t>
  </si>
  <si>
    <t>PROD_DT</t>
  </si>
  <si>
    <t>HORAS_DE_PARO</t>
  </si>
  <si>
    <t>RUBRO</t>
  </si>
  <si>
    <t>GRAN_RUBRO</t>
  </si>
  <si>
    <t>PERDIDA_PETROLEO</t>
  </si>
  <si>
    <t>_norm_name</t>
  </si>
  <si>
    <t>PROD_OIL_24</t>
  </si>
  <si>
    <t>fecha_PU</t>
  </si>
  <si>
    <t>fecha_EDT</t>
  </si>
  <si>
    <t>P_EDT</t>
  </si>
  <si>
    <t>LLL-1548(h)</t>
  </si>
  <si>
    <t>LLL-1314(h)</t>
  </si>
  <si>
    <t>SOil-330(h)</t>
  </si>
  <si>
    <t>LACh-66(h)</t>
  </si>
  <si>
    <t>SOil-177(h)</t>
  </si>
  <si>
    <t>LLL-1559(h)</t>
  </si>
  <si>
    <t>LACh-26(h)</t>
  </si>
  <si>
    <t>LLL-1375(h)</t>
  </si>
  <si>
    <t>LACh-196(h)</t>
  </si>
  <si>
    <t>LLL-1508(h)</t>
  </si>
  <si>
    <t>LACh.x-3</t>
  </si>
  <si>
    <t>SOil-375(h)</t>
  </si>
  <si>
    <t>LACh-45(h)</t>
  </si>
  <si>
    <t>SOil-31(d)</t>
  </si>
  <si>
    <t>SOil-240(h)</t>
  </si>
  <si>
    <t>SOil-314(h)</t>
  </si>
  <si>
    <t>SOil-311(h)</t>
  </si>
  <si>
    <t>LACh-95(h)</t>
  </si>
  <si>
    <t>SOil-72(h)</t>
  </si>
  <si>
    <t>LLL-990(h)</t>
  </si>
  <si>
    <t>SOil-75(d)</t>
  </si>
  <si>
    <t>LLL-1396(h)</t>
  </si>
  <si>
    <t>LLL-1302(h)</t>
  </si>
  <si>
    <t>LACh-69(h)</t>
  </si>
  <si>
    <t>SOil-174</t>
  </si>
  <si>
    <t>SOil-354(h)</t>
  </si>
  <si>
    <t>LLL-665</t>
  </si>
  <si>
    <t>SOil.a-2h</t>
  </si>
  <si>
    <t>LLL-1311(h)</t>
  </si>
  <si>
    <t>SOil-264(h)</t>
  </si>
  <si>
    <t>SOil-178(h)</t>
  </si>
  <si>
    <t>LLL-1346(h)</t>
  </si>
  <si>
    <t>LLL-993</t>
  </si>
  <si>
    <t>LLL-1393(h)</t>
  </si>
  <si>
    <t>LLL-1592(h)</t>
  </si>
  <si>
    <t>LACh.x-4</t>
  </si>
  <si>
    <t>LLL-1445(h)</t>
  </si>
  <si>
    <t>LLL-682(d)</t>
  </si>
  <si>
    <t>SOil-13(d)</t>
  </si>
  <si>
    <t>SOil-265(h)</t>
  </si>
  <si>
    <t>LLL-673(d)</t>
  </si>
  <si>
    <t>SOil-245(h)</t>
  </si>
  <si>
    <t>SOil-252(h)</t>
  </si>
  <si>
    <t>SOil-6</t>
  </si>
  <si>
    <t>LCav-22(h)</t>
  </si>
  <si>
    <t>SOil-309(h)</t>
  </si>
  <si>
    <t>SOil-50(d)</t>
  </si>
  <si>
    <t>SOil-258(h)</t>
  </si>
  <si>
    <t>LLL-687(d)</t>
  </si>
  <si>
    <t>SOil-30(h)</t>
  </si>
  <si>
    <t>SOil-43(d)</t>
  </si>
  <si>
    <t>SOil-73(d)</t>
  </si>
  <si>
    <t>LLL-741(d)</t>
  </si>
  <si>
    <t>SOil-20(d)</t>
  </si>
  <si>
    <t>SOil-56(d)</t>
  </si>
  <si>
    <t>SOil-257(h)</t>
  </si>
  <si>
    <t>LLL-1374(h)</t>
  </si>
  <si>
    <t>SOil-236(h)</t>
  </si>
  <si>
    <t>SOil-268(h)</t>
  </si>
  <si>
    <t>SOil-229(h)</t>
  </si>
  <si>
    <t>SOil-370(h)</t>
  </si>
  <si>
    <t>Espera Requerimiento Tractor</t>
  </si>
  <si>
    <t>Espera Tractor - Interferencia</t>
  </si>
  <si>
    <t>Espera Tractor</t>
  </si>
  <si>
    <t>Con Tractor - Interferencia</t>
  </si>
  <si>
    <t>Espera Tractor Post Fractura-Interferencia</t>
  </si>
  <si>
    <t>ESPERA TRACTOR</t>
  </si>
  <si>
    <t>ASEGURAMIENTOS POR INTERFERENCIA</t>
  </si>
  <si>
    <t>lll-1548</t>
  </si>
  <si>
    <t>lll-1314</t>
  </si>
  <si>
    <t>soil-330</t>
  </si>
  <si>
    <t>lach-66</t>
  </si>
  <si>
    <t>soil-177</t>
  </si>
  <si>
    <t>lll-1559</t>
  </si>
  <si>
    <t>lach-26</t>
  </si>
  <si>
    <t>lll-1375</t>
  </si>
  <si>
    <t>lach-196</t>
  </si>
  <si>
    <t>lll-1508</t>
  </si>
  <si>
    <t>lach.x-3</t>
  </si>
  <si>
    <t>soil-375</t>
  </si>
  <si>
    <t>lach-45</t>
  </si>
  <si>
    <t>soil-31(d)</t>
  </si>
  <si>
    <t>soil-240</t>
  </si>
  <si>
    <t>soil-314</t>
  </si>
  <si>
    <t>soil-311</t>
  </si>
  <si>
    <t>lach-95</t>
  </si>
  <si>
    <t>soil-72</t>
  </si>
  <si>
    <t>lll-990</t>
  </si>
  <si>
    <t>soil-75(d)</t>
  </si>
  <si>
    <t>lll-1396</t>
  </si>
  <si>
    <t>lll-1302</t>
  </si>
  <si>
    <t>lach-69</t>
  </si>
  <si>
    <t>soil-174</t>
  </si>
  <si>
    <t>soil-354</t>
  </si>
  <si>
    <t>lll-665</t>
  </si>
  <si>
    <t>soil.a-2h</t>
  </si>
  <si>
    <t>lll-1311</t>
  </si>
  <si>
    <t>soil-264</t>
  </si>
  <si>
    <t>soil-178</t>
  </si>
  <si>
    <t>lll-1346</t>
  </si>
  <si>
    <t>lll-993</t>
  </si>
  <si>
    <t>lll-1393</t>
  </si>
  <si>
    <t>lll-1592</t>
  </si>
  <si>
    <t>lach.x-4</t>
  </si>
  <si>
    <t>lll-1445</t>
  </si>
  <si>
    <t>lll-682(d)</t>
  </si>
  <si>
    <t>soil-13(d)</t>
  </si>
  <si>
    <t>soil-265</t>
  </si>
  <si>
    <t>lll-673(d)</t>
  </si>
  <si>
    <t>soil-245</t>
  </si>
  <si>
    <t>soil-252</t>
  </si>
  <si>
    <t>soil-6</t>
  </si>
  <si>
    <t>lcav-22</t>
  </si>
  <si>
    <t>soil-309</t>
  </si>
  <si>
    <t>soil-50(d)</t>
  </si>
  <si>
    <t>soil-258</t>
  </si>
  <si>
    <t>lll-687(d)</t>
  </si>
  <si>
    <t>soil-30</t>
  </si>
  <si>
    <t>soil-43(d)</t>
  </si>
  <si>
    <t>soil-73(d)</t>
  </si>
  <si>
    <t>lll-741(d)</t>
  </si>
  <si>
    <t>soil-20(d)</t>
  </si>
  <si>
    <t>soil-56(d)</t>
  </si>
  <si>
    <t>soil-257</t>
  </si>
  <si>
    <t>lll-1374</t>
  </si>
  <si>
    <t>soil-236</t>
  </si>
  <si>
    <t>soil-268</t>
  </si>
  <si>
    <t>soil-229</t>
  </si>
  <si>
    <t>soil-370</t>
  </si>
  <si>
    <t>Caudal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</si>
</sst>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7"/>
  <sheetViews>
    <sheetView workbookViewId="0">
      <selection activeCell="F11" sqref="F11"/>
    </sheetView>
  </sheetViews>
  <sheetFormatPr baseColWidth="10" defaultColWidth="9.140625" defaultRowHeight="15" x14ac:dyDescent="0.25"/>
  <cols>
    <col min="1" max="1" width="22.42578125" bestFit="1" customWidth="1"/>
    <col min="2" max="2" width="18.140625" style="4" bestFit="1" customWidth="1"/>
    <col min="3" max="3" width="16.5703125" bestFit="1" customWidth="1"/>
    <col min="4" max="4" width="38.28515625" bestFit="1" customWidth="1"/>
    <col min="5" max="5" width="36.28515625" bestFit="1" customWidth="1"/>
    <col min="6" max="6" width="23.42578125" bestFit="1" customWidth="1"/>
    <col min="7" max="7" width="12.7109375" bestFit="1" customWidth="1"/>
    <col min="8" max="8" width="17.42578125" bestFit="1" customWidth="1"/>
    <col min="9" max="9" width="9.42578125" bestFit="1" customWidth="1"/>
    <col min="10" max="10" width="18.140625" bestFit="1" customWidth="1"/>
    <col min="11" max="11" width="7" bestFit="1" customWidth="1"/>
  </cols>
  <sheetData>
    <row r="1" spans="1:11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32</v>
      </c>
      <c r="B2" s="4">
        <v>45902</v>
      </c>
      <c r="C2">
        <v>24</v>
      </c>
      <c r="D2" t="s">
        <v>72</v>
      </c>
      <c r="E2" t="s">
        <v>77</v>
      </c>
      <c r="F2">
        <v>6.2</v>
      </c>
      <c r="G2" t="s">
        <v>100</v>
      </c>
      <c r="H2">
        <v>37.14</v>
      </c>
      <c r="J2" s="2">
        <v>45839</v>
      </c>
      <c r="K2">
        <v>192.2</v>
      </c>
    </row>
    <row r="3" spans="1:11" x14ac:dyDescent="0.25">
      <c r="A3" t="s">
        <v>32</v>
      </c>
      <c r="B3" s="4">
        <v>45902</v>
      </c>
      <c r="C3">
        <v>24</v>
      </c>
      <c r="D3" t="s">
        <v>72</v>
      </c>
      <c r="E3" t="s">
        <v>77</v>
      </c>
      <c r="F3">
        <v>6.2</v>
      </c>
      <c r="G3" t="s">
        <v>100</v>
      </c>
      <c r="H3">
        <v>37.14</v>
      </c>
      <c r="J3" s="2">
        <v>45870</v>
      </c>
      <c r="K3">
        <v>192.2</v>
      </c>
    </row>
    <row r="4" spans="1:11" x14ac:dyDescent="0.25">
      <c r="A4" t="s">
        <v>32</v>
      </c>
      <c r="B4" s="4">
        <v>45902</v>
      </c>
      <c r="C4">
        <v>24</v>
      </c>
      <c r="D4" t="s">
        <v>72</v>
      </c>
      <c r="E4" t="s">
        <v>77</v>
      </c>
      <c r="F4">
        <v>6.2</v>
      </c>
      <c r="G4" t="s">
        <v>100</v>
      </c>
      <c r="H4">
        <v>37.14</v>
      </c>
      <c r="J4" s="2">
        <v>45901</v>
      </c>
      <c r="K4">
        <v>186</v>
      </c>
    </row>
    <row r="5" spans="1:11" x14ac:dyDescent="0.25">
      <c r="A5" t="s">
        <v>32</v>
      </c>
      <c r="B5" s="4">
        <v>45902</v>
      </c>
      <c r="C5">
        <v>24</v>
      </c>
      <c r="D5" t="s">
        <v>72</v>
      </c>
      <c r="E5" t="s">
        <v>77</v>
      </c>
      <c r="F5">
        <v>6.2</v>
      </c>
      <c r="G5" t="s">
        <v>100</v>
      </c>
      <c r="H5">
        <v>37.14</v>
      </c>
      <c r="J5" s="2">
        <v>45931</v>
      </c>
      <c r="K5">
        <v>192.2</v>
      </c>
    </row>
    <row r="6" spans="1:11" x14ac:dyDescent="0.25">
      <c r="A6" t="s">
        <v>32</v>
      </c>
      <c r="B6" s="4">
        <v>45902</v>
      </c>
      <c r="C6">
        <v>24</v>
      </c>
      <c r="D6" t="s">
        <v>72</v>
      </c>
      <c r="E6" t="s">
        <v>77</v>
      </c>
      <c r="F6">
        <v>6.2</v>
      </c>
      <c r="G6" t="s">
        <v>100</v>
      </c>
      <c r="H6">
        <v>37.14</v>
      </c>
      <c r="J6" s="2">
        <v>45962</v>
      </c>
      <c r="K6">
        <v>186</v>
      </c>
    </row>
    <row r="7" spans="1:11" x14ac:dyDescent="0.25">
      <c r="A7" t="s">
        <v>32</v>
      </c>
      <c r="B7" s="4">
        <v>45902</v>
      </c>
      <c r="C7">
        <v>24</v>
      </c>
      <c r="D7" t="s">
        <v>72</v>
      </c>
      <c r="E7" t="s">
        <v>77</v>
      </c>
      <c r="F7">
        <v>6.2</v>
      </c>
      <c r="G7" t="s">
        <v>100</v>
      </c>
      <c r="H7">
        <v>37.14</v>
      </c>
      <c r="J7" s="2">
        <v>45992</v>
      </c>
      <c r="K7">
        <v>192.2</v>
      </c>
    </row>
    <row r="8" spans="1:11" x14ac:dyDescent="0.25">
      <c r="A8" t="s">
        <v>11</v>
      </c>
      <c r="B8" s="4">
        <v>45902</v>
      </c>
      <c r="C8">
        <v>24</v>
      </c>
      <c r="D8" t="s">
        <v>72</v>
      </c>
      <c r="E8" t="s">
        <v>77</v>
      </c>
      <c r="F8">
        <v>32</v>
      </c>
      <c r="G8" t="s">
        <v>79</v>
      </c>
      <c r="H8">
        <v>32</v>
      </c>
      <c r="J8" s="2">
        <v>45839</v>
      </c>
      <c r="K8">
        <v>992</v>
      </c>
    </row>
    <row r="9" spans="1:11" x14ac:dyDescent="0.25">
      <c r="A9" t="s">
        <v>11</v>
      </c>
      <c r="B9" s="4">
        <v>45902</v>
      </c>
      <c r="C9">
        <v>24</v>
      </c>
      <c r="D9" t="s">
        <v>72</v>
      </c>
      <c r="E9" t="s">
        <v>77</v>
      </c>
      <c r="F9">
        <v>32</v>
      </c>
      <c r="G9" t="s">
        <v>79</v>
      </c>
      <c r="H9">
        <v>32</v>
      </c>
      <c r="J9" s="2">
        <v>45870</v>
      </c>
      <c r="K9">
        <v>992</v>
      </c>
    </row>
    <row r="10" spans="1:11" x14ac:dyDescent="0.25">
      <c r="A10" t="s">
        <v>11</v>
      </c>
      <c r="B10" s="4">
        <v>45902</v>
      </c>
      <c r="C10">
        <v>24</v>
      </c>
      <c r="D10" t="s">
        <v>72</v>
      </c>
      <c r="E10" t="s">
        <v>77</v>
      </c>
      <c r="F10">
        <v>32</v>
      </c>
      <c r="G10" t="s">
        <v>79</v>
      </c>
      <c r="H10">
        <v>32</v>
      </c>
      <c r="J10" s="2">
        <v>45901</v>
      </c>
      <c r="K10">
        <v>960</v>
      </c>
    </row>
    <row r="11" spans="1:11" x14ac:dyDescent="0.25">
      <c r="A11" t="s">
        <v>11</v>
      </c>
      <c r="B11" s="4">
        <v>45902</v>
      </c>
      <c r="C11">
        <v>24</v>
      </c>
      <c r="D11" t="s">
        <v>72</v>
      </c>
      <c r="E11" t="s">
        <v>77</v>
      </c>
      <c r="F11">
        <v>32</v>
      </c>
      <c r="G11" t="s">
        <v>79</v>
      </c>
      <c r="H11">
        <v>32</v>
      </c>
      <c r="J11" s="2">
        <v>45931</v>
      </c>
      <c r="K11">
        <v>992</v>
      </c>
    </row>
    <row r="12" spans="1:11" x14ac:dyDescent="0.25">
      <c r="A12" t="s">
        <v>11</v>
      </c>
      <c r="B12" s="4">
        <v>45902</v>
      </c>
      <c r="C12">
        <v>24</v>
      </c>
      <c r="D12" t="s">
        <v>72</v>
      </c>
      <c r="E12" t="s">
        <v>77</v>
      </c>
      <c r="F12">
        <v>32</v>
      </c>
      <c r="G12" t="s">
        <v>79</v>
      </c>
      <c r="H12">
        <v>32</v>
      </c>
      <c r="J12" s="2">
        <v>45962</v>
      </c>
      <c r="K12">
        <v>960</v>
      </c>
    </row>
    <row r="13" spans="1:11" x14ac:dyDescent="0.25">
      <c r="A13" t="s">
        <v>11</v>
      </c>
      <c r="B13" s="4">
        <v>45902</v>
      </c>
      <c r="C13">
        <v>24</v>
      </c>
      <c r="D13" t="s">
        <v>72</v>
      </c>
      <c r="E13" t="s">
        <v>77</v>
      </c>
      <c r="F13">
        <v>32</v>
      </c>
      <c r="G13" t="s">
        <v>79</v>
      </c>
      <c r="H13">
        <v>32</v>
      </c>
      <c r="J13" s="2">
        <v>45992</v>
      </c>
      <c r="K13">
        <v>992</v>
      </c>
    </row>
    <row r="14" spans="1:11" x14ac:dyDescent="0.25">
      <c r="A14" t="s">
        <v>70</v>
      </c>
      <c r="B14" s="4">
        <v>45902</v>
      </c>
      <c r="C14">
        <v>24</v>
      </c>
      <c r="D14" t="s">
        <v>76</v>
      </c>
      <c r="E14" t="s">
        <v>78</v>
      </c>
      <c r="F14">
        <v>1.03</v>
      </c>
      <c r="G14" t="s">
        <v>138</v>
      </c>
      <c r="H14">
        <v>24.75</v>
      </c>
      <c r="J14" s="2">
        <v>45839</v>
      </c>
      <c r="K14">
        <v>31.93</v>
      </c>
    </row>
    <row r="15" spans="1:11" x14ac:dyDescent="0.25">
      <c r="A15" t="s">
        <v>70</v>
      </c>
      <c r="B15" s="4">
        <v>45902</v>
      </c>
      <c r="C15">
        <v>24</v>
      </c>
      <c r="D15" t="s">
        <v>76</v>
      </c>
      <c r="E15" t="s">
        <v>78</v>
      </c>
      <c r="F15">
        <v>1.03</v>
      </c>
      <c r="G15" t="s">
        <v>138</v>
      </c>
      <c r="H15">
        <v>24.75</v>
      </c>
      <c r="J15" s="2">
        <v>45870</v>
      </c>
      <c r="K15">
        <v>31.93</v>
      </c>
    </row>
    <row r="16" spans="1:11" x14ac:dyDescent="0.25">
      <c r="A16" t="s">
        <v>70</v>
      </c>
      <c r="B16" s="4">
        <v>45902</v>
      </c>
      <c r="C16">
        <v>24</v>
      </c>
      <c r="D16" t="s">
        <v>76</v>
      </c>
      <c r="E16" t="s">
        <v>78</v>
      </c>
      <c r="F16">
        <v>1.03</v>
      </c>
      <c r="G16" t="s">
        <v>138</v>
      </c>
      <c r="H16">
        <v>24.75</v>
      </c>
      <c r="J16" s="2">
        <v>45901</v>
      </c>
      <c r="K16">
        <v>30.9</v>
      </c>
    </row>
    <row r="17" spans="1:11" x14ac:dyDescent="0.25">
      <c r="A17" t="s">
        <v>70</v>
      </c>
      <c r="B17" s="4">
        <v>45902</v>
      </c>
      <c r="C17">
        <v>24</v>
      </c>
      <c r="D17" t="s">
        <v>76</v>
      </c>
      <c r="E17" t="s">
        <v>78</v>
      </c>
      <c r="F17">
        <v>1.03</v>
      </c>
      <c r="G17" t="s">
        <v>138</v>
      </c>
      <c r="H17">
        <v>24.75</v>
      </c>
      <c r="J17" s="2">
        <v>45931</v>
      </c>
      <c r="K17">
        <v>31.93</v>
      </c>
    </row>
    <row r="18" spans="1:11" x14ac:dyDescent="0.25">
      <c r="A18" t="s">
        <v>70</v>
      </c>
      <c r="B18" s="4">
        <v>45902</v>
      </c>
      <c r="C18">
        <v>24</v>
      </c>
      <c r="D18" t="s">
        <v>76</v>
      </c>
      <c r="E18" t="s">
        <v>78</v>
      </c>
      <c r="F18">
        <v>1.03</v>
      </c>
      <c r="G18" t="s">
        <v>138</v>
      </c>
      <c r="H18">
        <v>24.75</v>
      </c>
      <c r="J18" s="2">
        <v>45962</v>
      </c>
      <c r="K18">
        <v>30.9</v>
      </c>
    </row>
    <row r="19" spans="1:11" x14ac:dyDescent="0.25">
      <c r="A19" t="s">
        <v>70</v>
      </c>
      <c r="B19" s="4">
        <v>45902</v>
      </c>
      <c r="C19">
        <v>24</v>
      </c>
      <c r="D19" t="s">
        <v>76</v>
      </c>
      <c r="E19" t="s">
        <v>78</v>
      </c>
      <c r="F19">
        <v>1.03</v>
      </c>
      <c r="G19" t="s">
        <v>138</v>
      </c>
      <c r="H19">
        <v>24.75</v>
      </c>
      <c r="J19" s="2">
        <v>45992</v>
      </c>
      <c r="K19">
        <v>31.93</v>
      </c>
    </row>
    <row r="20" spans="1:11" x14ac:dyDescent="0.25">
      <c r="A20" t="s">
        <v>12</v>
      </c>
      <c r="B20" s="4">
        <v>45902</v>
      </c>
      <c r="C20">
        <v>24</v>
      </c>
      <c r="D20" t="s">
        <v>72</v>
      </c>
      <c r="E20" t="s">
        <v>77</v>
      </c>
      <c r="F20">
        <v>22.23</v>
      </c>
      <c r="G20" t="s">
        <v>80</v>
      </c>
      <c r="H20">
        <v>22.23</v>
      </c>
      <c r="J20" s="2">
        <v>45839</v>
      </c>
      <c r="K20">
        <v>689.13</v>
      </c>
    </row>
    <row r="21" spans="1:11" x14ac:dyDescent="0.25">
      <c r="A21" t="s">
        <v>12</v>
      </c>
      <c r="B21" s="4">
        <v>45902</v>
      </c>
      <c r="C21">
        <v>24</v>
      </c>
      <c r="D21" t="s">
        <v>72</v>
      </c>
      <c r="E21" t="s">
        <v>77</v>
      </c>
      <c r="F21">
        <v>22.23</v>
      </c>
      <c r="G21" t="s">
        <v>80</v>
      </c>
      <c r="H21">
        <v>22.23</v>
      </c>
      <c r="J21" s="2">
        <v>45870</v>
      </c>
      <c r="K21">
        <v>689.13</v>
      </c>
    </row>
    <row r="22" spans="1:11" x14ac:dyDescent="0.25">
      <c r="A22" t="s">
        <v>12</v>
      </c>
      <c r="B22" s="4">
        <v>45902</v>
      </c>
      <c r="C22">
        <v>24</v>
      </c>
      <c r="D22" t="s">
        <v>72</v>
      </c>
      <c r="E22" t="s">
        <v>77</v>
      </c>
      <c r="F22">
        <v>22.23</v>
      </c>
      <c r="G22" t="s">
        <v>80</v>
      </c>
      <c r="H22">
        <v>22.23</v>
      </c>
      <c r="J22" s="2">
        <v>45901</v>
      </c>
      <c r="K22">
        <v>666.9</v>
      </c>
    </row>
    <row r="23" spans="1:11" x14ac:dyDescent="0.25">
      <c r="A23" t="s">
        <v>12</v>
      </c>
      <c r="B23" s="4">
        <v>45902</v>
      </c>
      <c r="C23">
        <v>24</v>
      </c>
      <c r="D23" t="s">
        <v>72</v>
      </c>
      <c r="E23" t="s">
        <v>77</v>
      </c>
      <c r="F23">
        <v>22.23</v>
      </c>
      <c r="G23" t="s">
        <v>80</v>
      </c>
      <c r="H23">
        <v>22.23</v>
      </c>
      <c r="J23" s="2">
        <v>45931</v>
      </c>
      <c r="K23">
        <v>689.13</v>
      </c>
    </row>
    <row r="24" spans="1:11" x14ac:dyDescent="0.25">
      <c r="A24" t="s">
        <v>12</v>
      </c>
      <c r="B24" s="4">
        <v>45902</v>
      </c>
      <c r="C24">
        <v>24</v>
      </c>
      <c r="D24" t="s">
        <v>72</v>
      </c>
      <c r="E24" t="s">
        <v>77</v>
      </c>
      <c r="F24">
        <v>22.23</v>
      </c>
      <c r="G24" t="s">
        <v>80</v>
      </c>
      <c r="H24">
        <v>22.23</v>
      </c>
      <c r="J24" s="2">
        <v>45962</v>
      </c>
      <c r="K24">
        <v>666.9</v>
      </c>
    </row>
    <row r="25" spans="1:11" x14ac:dyDescent="0.25">
      <c r="A25" t="s">
        <v>12</v>
      </c>
      <c r="B25" s="4">
        <v>45902</v>
      </c>
      <c r="C25">
        <v>24</v>
      </c>
      <c r="D25" t="s">
        <v>72</v>
      </c>
      <c r="E25" t="s">
        <v>77</v>
      </c>
      <c r="F25">
        <v>22.23</v>
      </c>
      <c r="G25" t="s">
        <v>80</v>
      </c>
      <c r="H25">
        <v>22.23</v>
      </c>
      <c r="J25" s="2">
        <v>45992</v>
      </c>
      <c r="K25">
        <v>689.13</v>
      </c>
    </row>
    <row r="26" spans="1:11" x14ac:dyDescent="0.25">
      <c r="A26" t="s">
        <v>44</v>
      </c>
      <c r="B26" s="4">
        <v>45902</v>
      </c>
      <c r="C26">
        <v>24</v>
      </c>
      <c r="D26" t="s">
        <v>74</v>
      </c>
      <c r="E26" t="s">
        <v>77</v>
      </c>
      <c r="F26">
        <v>3.51</v>
      </c>
      <c r="G26" t="s">
        <v>112</v>
      </c>
      <c r="H26">
        <v>21.04</v>
      </c>
      <c r="J26" s="2">
        <v>45839</v>
      </c>
      <c r="K26">
        <v>108.81</v>
      </c>
    </row>
    <row r="27" spans="1:11" x14ac:dyDescent="0.25">
      <c r="A27" t="s">
        <v>44</v>
      </c>
      <c r="B27" s="4">
        <v>45902</v>
      </c>
      <c r="C27">
        <v>24</v>
      </c>
      <c r="D27" t="s">
        <v>74</v>
      </c>
      <c r="E27" t="s">
        <v>77</v>
      </c>
      <c r="F27">
        <v>3.51</v>
      </c>
      <c r="G27" t="s">
        <v>112</v>
      </c>
      <c r="H27">
        <v>21.04</v>
      </c>
      <c r="J27" s="2">
        <v>45870</v>
      </c>
      <c r="K27">
        <v>108.81</v>
      </c>
    </row>
    <row r="28" spans="1:11" x14ac:dyDescent="0.25">
      <c r="A28" t="s">
        <v>44</v>
      </c>
      <c r="B28" s="4">
        <v>45902</v>
      </c>
      <c r="C28">
        <v>24</v>
      </c>
      <c r="D28" t="s">
        <v>74</v>
      </c>
      <c r="E28" t="s">
        <v>77</v>
      </c>
      <c r="F28">
        <v>3.51</v>
      </c>
      <c r="G28" t="s">
        <v>112</v>
      </c>
      <c r="H28">
        <v>21.04</v>
      </c>
      <c r="J28" s="2">
        <v>45901</v>
      </c>
      <c r="K28">
        <v>105.3</v>
      </c>
    </row>
    <row r="29" spans="1:11" x14ac:dyDescent="0.25">
      <c r="A29" t="s">
        <v>44</v>
      </c>
      <c r="B29" s="4">
        <v>45902</v>
      </c>
      <c r="C29">
        <v>24</v>
      </c>
      <c r="D29" t="s">
        <v>74</v>
      </c>
      <c r="E29" t="s">
        <v>77</v>
      </c>
      <c r="F29">
        <v>3.51</v>
      </c>
      <c r="G29" t="s">
        <v>112</v>
      </c>
      <c r="H29">
        <v>21.04</v>
      </c>
      <c r="J29" s="2">
        <v>45931</v>
      </c>
      <c r="K29">
        <v>108.81</v>
      </c>
    </row>
    <row r="30" spans="1:11" x14ac:dyDescent="0.25">
      <c r="A30" t="s">
        <v>44</v>
      </c>
      <c r="B30" s="4">
        <v>45902</v>
      </c>
      <c r="C30">
        <v>24</v>
      </c>
      <c r="D30" t="s">
        <v>74</v>
      </c>
      <c r="E30" t="s">
        <v>77</v>
      </c>
      <c r="F30">
        <v>3.51</v>
      </c>
      <c r="G30" t="s">
        <v>112</v>
      </c>
      <c r="H30">
        <v>21.04</v>
      </c>
      <c r="J30" s="2">
        <v>45962</v>
      </c>
      <c r="K30">
        <v>105.3</v>
      </c>
    </row>
    <row r="31" spans="1:11" x14ac:dyDescent="0.25">
      <c r="A31" t="s">
        <v>44</v>
      </c>
      <c r="B31" s="4">
        <v>45902</v>
      </c>
      <c r="C31">
        <v>24</v>
      </c>
      <c r="D31" t="s">
        <v>74</v>
      </c>
      <c r="E31" t="s">
        <v>77</v>
      </c>
      <c r="F31">
        <v>3.51</v>
      </c>
      <c r="G31" t="s">
        <v>112</v>
      </c>
      <c r="H31">
        <v>21.04</v>
      </c>
      <c r="J31" s="2">
        <v>45992</v>
      </c>
      <c r="K31">
        <v>108.81</v>
      </c>
    </row>
    <row r="32" spans="1:11" x14ac:dyDescent="0.25">
      <c r="A32" t="s">
        <v>13</v>
      </c>
      <c r="B32" s="4">
        <v>45902</v>
      </c>
      <c r="C32">
        <v>24</v>
      </c>
      <c r="D32" t="s">
        <v>73</v>
      </c>
      <c r="E32" t="s">
        <v>78</v>
      </c>
      <c r="F32">
        <v>20.52</v>
      </c>
      <c r="G32" t="s">
        <v>81</v>
      </c>
      <c r="H32">
        <v>20.52</v>
      </c>
      <c r="J32" s="2">
        <v>45839</v>
      </c>
      <c r="K32">
        <v>636.12</v>
      </c>
    </row>
    <row r="33" spans="1:11" x14ac:dyDescent="0.25">
      <c r="A33" t="s">
        <v>13</v>
      </c>
      <c r="B33" s="4">
        <v>45902</v>
      </c>
      <c r="C33">
        <v>24</v>
      </c>
      <c r="D33" t="s">
        <v>73</v>
      </c>
      <c r="E33" t="s">
        <v>78</v>
      </c>
      <c r="F33">
        <v>20.52</v>
      </c>
      <c r="G33" t="s">
        <v>81</v>
      </c>
      <c r="H33">
        <v>20.52</v>
      </c>
      <c r="J33" s="2">
        <v>45870</v>
      </c>
      <c r="K33">
        <v>636.12</v>
      </c>
    </row>
    <row r="34" spans="1:11" x14ac:dyDescent="0.25">
      <c r="A34" t="s">
        <v>13</v>
      </c>
      <c r="B34" s="4">
        <v>45902</v>
      </c>
      <c r="C34">
        <v>24</v>
      </c>
      <c r="D34" t="s">
        <v>73</v>
      </c>
      <c r="E34" t="s">
        <v>78</v>
      </c>
      <c r="F34">
        <v>20.52</v>
      </c>
      <c r="G34" t="s">
        <v>81</v>
      </c>
      <c r="H34">
        <v>20.52</v>
      </c>
      <c r="J34" s="2">
        <v>45901</v>
      </c>
      <c r="K34">
        <v>615.6</v>
      </c>
    </row>
    <row r="35" spans="1:11" x14ac:dyDescent="0.25">
      <c r="A35" t="s">
        <v>13</v>
      </c>
      <c r="B35" s="4">
        <v>45902</v>
      </c>
      <c r="C35">
        <v>24</v>
      </c>
      <c r="D35" t="s">
        <v>73</v>
      </c>
      <c r="E35" t="s">
        <v>78</v>
      </c>
      <c r="F35">
        <v>20.52</v>
      </c>
      <c r="G35" t="s">
        <v>81</v>
      </c>
      <c r="H35">
        <v>20.52</v>
      </c>
      <c r="J35" s="2">
        <v>45931</v>
      </c>
      <c r="K35">
        <v>636.12</v>
      </c>
    </row>
    <row r="36" spans="1:11" x14ac:dyDescent="0.25">
      <c r="A36" t="s">
        <v>13</v>
      </c>
      <c r="B36" s="4">
        <v>45902</v>
      </c>
      <c r="C36">
        <v>24</v>
      </c>
      <c r="D36" t="s">
        <v>73</v>
      </c>
      <c r="E36" t="s">
        <v>78</v>
      </c>
      <c r="F36">
        <v>20.52</v>
      </c>
      <c r="G36" t="s">
        <v>81</v>
      </c>
      <c r="H36">
        <v>20.52</v>
      </c>
      <c r="J36" s="2">
        <v>45962</v>
      </c>
      <c r="K36">
        <v>615.6</v>
      </c>
    </row>
    <row r="37" spans="1:11" x14ac:dyDescent="0.25">
      <c r="A37" t="s">
        <v>13</v>
      </c>
      <c r="B37" s="4">
        <v>45902</v>
      </c>
      <c r="C37">
        <v>24</v>
      </c>
      <c r="D37" t="s">
        <v>73</v>
      </c>
      <c r="E37" t="s">
        <v>78</v>
      </c>
      <c r="F37">
        <v>20.52</v>
      </c>
      <c r="G37" t="s">
        <v>81</v>
      </c>
      <c r="H37">
        <v>20.52</v>
      </c>
      <c r="J37" s="2">
        <v>45992</v>
      </c>
      <c r="K37">
        <v>636.12</v>
      </c>
    </row>
    <row r="38" spans="1:11" x14ac:dyDescent="0.25">
      <c r="A38" t="s">
        <v>14</v>
      </c>
      <c r="B38" s="4">
        <v>45902</v>
      </c>
      <c r="C38">
        <v>24</v>
      </c>
      <c r="D38" t="s">
        <v>74</v>
      </c>
      <c r="E38" t="s">
        <v>77</v>
      </c>
      <c r="F38">
        <v>18.760000000000002</v>
      </c>
      <c r="G38" t="s">
        <v>82</v>
      </c>
      <c r="H38">
        <v>18.760000000000002</v>
      </c>
      <c r="J38" s="2">
        <v>45839</v>
      </c>
      <c r="K38">
        <v>581.56000000000006</v>
      </c>
    </row>
    <row r="39" spans="1:11" x14ac:dyDescent="0.25">
      <c r="A39" t="s">
        <v>14</v>
      </c>
      <c r="B39" s="4">
        <v>45902</v>
      </c>
      <c r="C39">
        <v>24</v>
      </c>
      <c r="D39" t="s">
        <v>74</v>
      </c>
      <c r="E39" t="s">
        <v>77</v>
      </c>
      <c r="F39">
        <v>18.760000000000002</v>
      </c>
      <c r="G39" t="s">
        <v>82</v>
      </c>
      <c r="H39">
        <v>18.760000000000002</v>
      </c>
      <c r="J39" s="2">
        <v>45870</v>
      </c>
      <c r="K39">
        <v>581.56000000000006</v>
      </c>
    </row>
    <row r="40" spans="1:11" x14ac:dyDescent="0.25">
      <c r="A40" t="s">
        <v>14</v>
      </c>
      <c r="B40" s="4">
        <v>45902</v>
      </c>
      <c r="C40">
        <v>24</v>
      </c>
      <c r="D40" t="s">
        <v>74</v>
      </c>
      <c r="E40" t="s">
        <v>77</v>
      </c>
      <c r="F40">
        <v>18.760000000000002</v>
      </c>
      <c r="G40" t="s">
        <v>82</v>
      </c>
      <c r="H40">
        <v>18.760000000000002</v>
      </c>
      <c r="J40" s="2">
        <v>45901</v>
      </c>
      <c r="K40">
        <v>562.80000000000007</v>
      </c>
    </row>
    <row r="41" spans="1:11" x14ac:dyDescent="0.25">
      <c r="A41" t="s">
        <v>14</v>
      </c>
      <c r="B41" s="4">
        <v>45902</v>
      </c>
      <c r="C41">
        <v>24</v>
      </c>
      <c r="D41" t="s">
        <v>74</v>
      </c>
      <c r="E41" t="s">
        <v>77</v>
      </c>
      <c r="F41">
        <v>18.760000000000002</v>
      </c>
      <c r="G41" t="s">
        <v>82</v>
      </c>
      <c r="H41">
        <v>18.760000000000002</v>
      </c>
      <c r="J41" s="2">
        <v>45931</v>
      </c>
      <c r="K41">
        <v>581.56000000000006</v>
      </c>
    </row>
    <row r="42" spans="1:11" x14ac:dyDescent="0.25">
      <c r="A42" t="s">
        <v>14</v>
      </c>
      <c r="B42" s="4">
        <v>45902</v>
      </c>
      <c r="C42">
        <v>24</v>
      </c>
      <c r="D42" t="s">
        <v>74</v>
      </c>
      <c r="E42" t="s">
        <v>77</v>
      </c>
      <c r="F42">
        <v>18.760000000000002</v>
      </c>
      <c r="G42" t="s">
        <v>82</v>
      </c>
      <c r="H42">
        <v>18.760000000000002</v>
      </c>
      <c r="J42" s="2">
        <v>45962</v>
      </c>
      <c r="K42">
        <v>562.80000000000007</v>
      </c>
    </row>
    <row r="43" spans="1:11" x14ac:dyDescent="0.25">
      <c r="A43" t="s">
        <v>14</v>
      </c>
      <c r="B43" s="4">
        <v>45902</v>
      </c>
      <c r="C43">
        <v>24</v>
      </c>
      <c r="D43" t="s">
        <v>74</v>
      </c>
      <c r="E43" t="s">
        <v>77</v>
      </c>
      <c r="F43">
        <v>18.760000000000002</v>
      </c>
      <c r="G43" t="s">
        <v>82</v>
      </c>
      <c r="H43">
        <v>18.760000000000002</v>
      </c>
      <c r="J43" s="2">
        <v>45992</v>
      </c>
      <c r="K43">
        <v>581.56000000000006</v>
      </c>
    </row>
    <row r="44" spans="1:11" x14ac:dyDescent="0.25">
      <c r="A44" t="s">
        <v>30</v>
      </c>
      <c r="B44" s="4">
        <v>45902</v>
      </c>
      <c r="C44">
        <v>24</v>
      </c>
      <c r="D44" t="s">
        <v>73</v>
      </c>
      <c r="E44" t="s">
        <v>78</v>
      </c>
      <c r="F44">
        <v>6.52</v>
      </c>
      <c r="G44" t="s">
        <v>98</v>
      </c>
      <c r="H44">
        <v>15.93</v>
      </c>
      <c r="J44" s="2">
        <v>45839</v>
      </c>
      <c r="K44">
        <v>202.12</v>
      </c>
    </row>
    <row r="45" spans="1:11" x14ac:dyDescent="0.25">
      <c r="A45" t="s">
        <v>30</v>
      </c>
      <c r="B45" s="4">
        <v>45902</v>
      </c>
      <c r="C45">
        <v>24</v>
      </c>
      <c r="D45" t="s">
        <v>73</v>
      </c>
      <c r="E45" t="s">
        <v>78</v>
      </c>
      <c r="F45">
        <v>6.52</v>
      </c>
      <c r="G45" t="s">
        <v>98</v>
      </c>
      <c r="H45">
        <v>15.93</v>
      </c>
      <c r="J45" s="2">
        <v>45870</v>
      </c>
      <c r="K45">
        <v>202.12</v>
      </c>
    </row>
    <row r="46" spans="1:11" x14ac:dyDescent="0.25">
      <c r="A46" t="s">
        <v>30</v>
      </c>
      <c r="B46" s="4">
        <v>45902</v>
      </c>
      <c r="C46">
        <v>24</v>
      </c>
      <c r="D46" t="s">
        <v>73</v>
      </c>
      <c r="E46" t="s">
        <v>78</v>
      </c>
      <c r="F46">
        <v>6.52</v>
      </c>
      <c r="G46" t="s">
        <v>98</v>
      </c>
      <c r="H46">
        <v>15.93</v>
      </c>
      <c r="J46" s="2">
        <v>45901</v>
      </c>
      <c r="K46">
        <v>195.6</v>
      </c>
    </row>
    <row r="47" spans="1:11" x14ac:dyDescent="0.25">
      <c r="A47" t="s">
        <v>30</v>
      </c>
      <c r="B47" s="4">
        <v>45902</v>
      </c>
      <c r="C47">
        <v>24</v>
      </c>
      <c r="D47" t="s">
        <v>73</v>
      </c>
      <c r="E47" t="s">
        <v>78</v>
      </c>
      <c r="F47">
        <v>6.52</v>
      </c>
      <c r="G47" t="s">
        <v>98</v>
      </c>
      <c r="H47">
        <v>15.93</v>
      </c>
      <c r="J47" s="2">
        <v>45931</v>
      </c>
      <c r="K47">
        <v>202.12</v>
      </c>
    </row>
    <row r="48" spans="1:11" x14ac:dyDescent="0.25">
      <c r="A48" t="s">
        <v>30</v>
      </c>
      <c r="B48" s="4">
        <v>45902</v>
      </c>
      <c r="C48">
        <v>24</v>
      </c>
      <c r="D48" t="s">
        <v>73</v>
      </c>
      <c r="E48" t="s">
        <v>78</v>
      </c>
      <c r="F48">
        <v>6.52</v>
      </c>
      <c r="G48" t="s">
        <v>98</v>
      </c>
      <c r="H48">
        <v>15.93</v>
      </c>
      <c r="J48" s="2">
        <v>45962</v>
      </c>
      <c r="K48">
        <v>195.6</v>
      </c>
    </row>
    <row r="49" spans="1:11" x14ac:dyDescent="0.25">
      <c r="A49" t="s">
        <v>30</v>
      </c>
      <c r="B49" s="4">
        <v>45902</v>
      </c>
      <c r="C49">
        <v>24</v>
      </c>
      <c r="D49" t="s">
        <v>73</v>
      </c>
      <c r="E49" t="s">
        <v>78</v>
      </c>
      <c r="F49">
        <v>6.52</v>
      </c>
      <c r="G49" t="s">
        <v>98</v>
      </c>
      <c r="H49">
        <v>15.93</v>
      </c>
      <c r="J49" s="2">
        <v>45992</v>
      </c>
      <c r="K49">
        <v>202.12</v>
      </c>
    </row>
    <row r="50" spans="1:11" x14ac:dyDescent="0.25">
      <c r="A50" t="s">
        <v>15</v>
      </c>
      <c r="B50" s="4">
        <v>45902</v>
      </c>
      <c r="C50">
        <v>24</v>
      </c>
      <c r="D50" t="s">
        <v>75</v>
      </c>
      <c r="E50" t="s">
        <v>78</v>
      </c>
      <c r="F50">
        <v>15</v>
      </c>
      <c r="G50" t="s">
        <v>83</v>
      </c>
      <c r="H50">
        <v>15</v>
      </c>
      <c r="J50" s="2">
        <v>45839</v>
      </c>
      <c r="K50">
        <v>465</v>
      </c>
    </row>
    <row r="51" spans="1:11" x14ac:dyDescent="0.25">
      <c r="A51" t="s">
        <v>15</v>
      </c>
      <c r="B51" s="4">
        <v>45902</v>
      </c>
      <c r="C51">
        <v>24</v>
      </c>
      <c r="D51" t="s">
        <v>75</v>
      </c>
      <c r="E51" t="s">
        <v>78</v>
      </c>
      <c r="F51">
        <v>15</v>
      </c>
      <c r="G51" t="s">
        <v>83</v>
      </c>
      <c r="H51">
        <v>15</v>
      </c>
      <c r="J51" s="2">
        <v>45870</v>
      </c>
      <c r="K51">
        <v>465</v>
      </c>
    </row>
    <row r="52" spans="1:11" x14ac:dyDescent="0.25">
      <c r="A52" t="s">
        <v>15</v>
      </c>
      <c r="B52" s="4">
        <v>45902</v>
      </c>
      <c r="C52">
        <v>24</v>
      </c>
      <c r="D52" t="s">
        <v>75</v>
      </c>
      <c r="E52" t="s">
        <v>78</v>
      </c>
      <c r="F52">
        <v>15</v>
      </c>
      <c r="G52" t="s">
        <v>83</v>
      </c>
      <c r="H52">
        <v>15</v>
      </c>
      <c r="J52" s="2">
        <v>45901</v>
      </c>
      <c r="K52">
        <v>450</v>
      </c>
    </row>
    <row r="53" spans="1:11" x14ac:dyDescent="0.25">
      <c r="A53" t="s">
        <v>15</v>
      </c>
      <c r="B53" s="4">
        <v>45902</v>
      </c>
      <c r="C53">
        <v>24</v>
      </c>
      <c r="D53" t="s">
        <v>75</v>
      </c>
      <c r="E53" t="s">
        <v>78</v>
      </c>
      <c r="F53">
        <v>15</v>
      </c>
      <c r="G53" t="s">
        <v>83</v>
      </c>
      <c r="H53">
        <v>15</v>
      </c>
      <c r="J53" s="2">
        <v>45931</v>
      </c>
      <c r="K53">
        <v>465</v>
      </c>
    </row>
    <row r="54" spans="1:11" x14ac:dyDescent="0.25">
      <c r="A54" t="s">
        <v>15</v>
      </c>
      <c r="B54" s="4">
        <v>45902</v>
      </c>
      <c r="C54">
        <v>24</v>
      </c>
      <c r="D54" t="s">
        <v>75</v>
      </c>
      <c r="E54" t="s">
        <v>78</v>
      </c>
      <c r="F54">
        <v>15</v>
      </c>
      <c r="G54" t="s">
        <v>83</v>
      </c>
      <c r="H54">
        <v>15</v>
      </c>
      <c r="J54" s="2">
        <v>45962</v>
      </c>
      <c r="K54">
        <v>450</v>
      </c>
    </row>
    <row r="55" spans="1:11" x14ac:dyDescent="0.25">
      <c r="A55" t="s">
        <v>15</v>
      </c>
      <c r="B55" s="4">
        <v>45902</v>
      </c>
      <c r="C55">
        <v>24</v>
      </c>
      <c r="D55" t="s">
        <v>75</v>
      </c>
      <c r="E55" t="s">
        <v>78</v>
      </c>
      <c r="F55">
        <v>15</v>
      </c>
      <c r="G55" t="s">
        <v>83</v>
      </c>
      <c r="H55">
        <v>15</v>
      </c>
      <c r="J55" s="2">
        <v>45992</v>
      </c>
      <c r="K55">
        <v>465</v>
      </c>
    </row>
    <row r="56" spans="1:11" x14ac:dyDescent="0.25">
      <c r="A56" t="s">
        <v>23</v>
      </c>
      <c r="B56" s="4">
        <v>45902</v>
      </c>
      <c r="C56">
        <v>24</v>
      </c>
      <c r="D56" t="s">
        <v>72</v>
      </c>
      <c r="E56" t="s">
        <v>77</v>
      </c>
      <c r="F56">
        <v>9.2899999999999991</v>
      </c>
      <c r="G56" t="s">
        <v>91</v>
      </c>
      <c r="H56">
        <v>14.79</v>
      </c>
      <c r="J56" s="2">
        <v>45839</v>
      </c>
      <c r="K56">
        <v>287.99</v>
      </c>
    </row>
    <row r="57" spans="1:11" x14ac:dyDescent="0.25">
      <c r="A57" t="s">
        <v>23</v>
      </c>
      <c r="B57" s="4">
        <v>45902</v>
      </c>
      <c r="C57">
        <v>24</v>
      </c>
      <c r="D57" t="s">
        <v>72</v>
      </c>
      <c r="E57" t="s">
        <v>77</v>
      </c>
      <c r="F57">
        <v>9.2899999999999991</v>
      </c>
      <c r="G57" t="s">
        <v>91</v>
      </c>
      <c r="H57">
        <v>14.79</v>
      </c>
      <c r="J57" s="2">
        <v>45870</v>
      </c>
      <c r="K57">
        <v>287.99</v>
      </c>
    </row>
    <row r="58" spans="1:11" x14ac:dyDescent="0.25">
      <c r="A58" t="s">
        <v>23</v>
      </c>
      <c r="B58" s="4">
        <v>45902</v>
      </c>
      <c r="C58">
        <v>24</v>
      </c>
      <c r="D58" t="s">
        <v>72</v>
      </c>
      <c r="E58" t="s">
        <v>77</v>
      </c>
      <c r="F58">
        <v>9.2899999999999991</v>
      </c>
      <c r="G58" t="s">
        <v>91</v>
      </c>
      <c r="H58">
        <v>14.79</v>
      </c>
      <c r="J58" s="2">
        <v>45901</v>
      </c>
      <c r="K58">
        <v>278.7</v>
      </c>
    </row>
    <row r="59" spans="1:11" x14ac:dyDescent="0.25">
      <c r="A59" t="s">
        <v>23</v>
      </c>
      <c r="B59" s="4">
        <v>45902</v>
      </c>
      <c r="C59">
        <v>24</v>
      </c>
      <c r="D59" t="s">
        <v>72</v>
      </c>
      <c r="E59" t="s">
        <v>77</v>
      </c>
      <c r="F59">
        <v>9.2899999999999991</v>
      </c>
      <c r="G59" t="s">
        <v>91</v>
      </c>
      <c r="H59">
        <v>14.79</v>
      </c>
      <c r="J59" s="2">
        <v>45931</v>
      </c>
      <c r="K59">
        <v>287.99</v>
      </c>
    </row>
    <row r="60" spans="1:11" x14ac:dyDescent="0.25">
      <c r="A60" t="s">
        <v>23</v>
      </c>
      <c r="B60" s="4">
        <v>45902</v>
      </c>
      <c r="C60">
        <v>24</v>
      </c>
      <c r="D60" t="s">
        <v>72</v>
      </c>
      <c r="E60" t="s">
        <v>77</v>
      </c>
      <c r="F60">
        <v>9.2899999999999991</v>
      </c>
      <c r="G60" t="s">
        <v>91</v>
      </c>
      <c r="H60">
        <v>14.79</v>
      </c>
      <c r="J60" s="2">
        <v>45962</v>
      </c>
      <c r="K60">
        <v>278.7</v>
      </c>
    </row>
    <row r="61" spans="1:11" x14ac:dyDescent="0.25">
      <c r="A61" t="s">
        <v>23</v>
      </c>
      <c r="B61" s="4">
        <v>45902</v>
      </c>
      <c r="C61">
        <v>24</v>
      </c>
      <c r="D61" t="s">
        <v>72</v>
      </c>
      <c r="E61" t="s">
        <v>77</v>
      </c>
      <c r="F61">
        <v>9.2899999999999991</v>
      </c>
      <c r="G61" t="s">
        <v>91</v>
      </c>
      <c r="H61">
        <v>14.79</v>
      </c>
      <c r="J61" s="2">
        <v>45992</v>
      </c>
      <c r="K61">
        <v>287.99</v>
      </c>
    </row>
    <row r="62" spans="1:11" x14ac:dyDescent="0.25">
      <c r="A62" t="s">
        <v>16</v>
      </c>
      <c r="B62" s="4">
        <v>45902</v>
      </c>
      <c r="C62">
        <v>24</v>
      </c>
      <c r="D62" t="s">
        <v>74</v>
      </c>
      <c r="E62" t="s">
        <v>77</v>
      </c>
      <c r="F62">
        <v>14.42</v>
      </c>
      <c r="G62" t="s">
        <v>84</v>
      </c>
      <c r="H62">
        <v>14.42</v>
      </c>
      <c r="J62" s="2">
        <v>45839</v>
      </c>
      <c r="K62">
        <v>447.02</v>
      </c>
    </row>
    <row r="63" spans="1:11" x14ac:dyDescent="0.25">
      <c r="A63" t="s">
        <v>16</v>
      </c>
      <c r="B63" s="4">
        <v>45902</v>
      </c>
      <c r="C63">
        <v>24</v>
      </c>
      <c r="D63" t="s">
        <v>74</v>
      </c>
      <c r="E63" t="s">
        <v>77</v>
      </c>
      <c r="F63">
        <v>14.42</v>
      </c>
      <c r="G63" t="s">
        <v>84</v>
      </c>
      <c r="H63">
        <v>14.42</v>
      </c>
      <c r="J63" s="2">
        <v>45870</v>
      </c>
      <c r="K63">
        <v>447.02</v>
      </c>
    </row>
    <row r="64" spans="1:11" x14ac:dyDescent="0.25">
      <c r="A64" t="s">
        <v>16</v>
      </c>
      <c r="B64" s="4">
        <v>45902</v>
      </c>
      <c r="C64">
        <v>24</v>
      </c>
      <c r="D64" t="s">
        <v>74</v>
      </c>
      <c r="E64" t="s">
        <v>77</v>
      </c>
      <c r="F64">
        <v>14.42</v>
      </c>
      <c r="G64" t="s">
        <v>84</v>
      </c>
      <c r="H64">
        <v>14.42</v>
      </c>
      <c r="J64" s="2">
        <v>45901</v>
      </c>
      <c r="K64">
        <v>432.6</v>
      </c>
    </row>
    <row r="65" spans="1:11" x14ac:dyDescent="0.25">
      <c r="A65" t="s">
        <v>16</v>
      </c>
      <c r="B65" s="4">
        <v>45902</v>
      </c>
      <c r="C65">
        <v>24</v>
      </c>
      <c r="D65" t="s">
        <v>74</v>
      </c>
      <c r="E65" t="s">
        <v>77</v>
      </c>
      <c r="F65">
        <v>14.42</v>
      </c>
      <c r="G65" t="s">
        <v>84</v>
      </c>
      <c r="H65">
        <v>14.42</v>
      </c>
      <c r="J65" s="2">
        <v>45931</v>
      </c>
      <c r="K65">
        <v>447.02</v>
      </c>
    </row>
    <row r="66" spans="1:11" x14ac:dyDescent="0.25">
      <c r="A66" t="s">
        <v>16</v>
      </c>
      <c r="B66" s="4">
        <v>45902</v>
      </c>
      <c r="C66">
        <v>24</v>
      </c>
      <c r="D66" t="s">
        <v>74</v>
      </c>
      <c r="E66" t="s">
        <v>77</v>
      </c>
      <c r="F66">
        <v>14.42</v>
      </c>
      <c r="G66" t="s">
        <v>84</v>
      </c>
      <c r="H66">
        <v>14.42</v>
      </c>
      <c r="J66" s="2">
        <v>45962</v>
      </c>
      <c r="K66">
        <v>432.6</v>
      </c>
    </row>
    <row r="67" spans="1:11" x14ac:dyDescent="0.25">
      <c r="A67" t="s">
        <v>16</v>
      </c>
      <c r="B67" s="4">
        <v>45902</v>
      </c>
      <c r="C67">
        <v>24</v>
      </c>
      <c r="D67" t="s">
        <v>74</v>
      </c>
      <c r="E67" t="s">
        <v>77</v>
      </c>
      <c r="F67">
        <v>14.42</v>
      </c>
      <c r="G67" t="s">
        <v>84</v>
      </c>
      <c r="H67">
        <v>14.42</v>
      </c>
      <c r="J67" s="2">
        <v>45992</v>
      </c>
      <c r="K67">
        <v>447.02</v>
      </c>
    </row>
    <row r="68" spans="1:11" x14ac:dyDescent="0.25">
      <c r="A68" t="s">
        <v>17</v>
      </c>
      <c r="B68" s="4">
        <v>45902</v>
      </c>
      <c r="C68">
        <v>24</v>
      </c>
      <c r="D68" t="s">
        <v>74</v>
      </c>
      <c r="E68" t="s">
        <v>77</v>
      </c>
      <c r="F68">
        <v>13.82</v>
      </c>
      <c r="G68" t="s">
        <v>85</v>
      </c>
      <c r="H68">
        <v>13.82</v>
      </c>
      <c r="J68" s="2">
        <v>45839</v>
      </c>
      <c r="K68">
        <v>428.42</v>
      </c>
    </row>
    <row r="69" spans="1:11" x14ac:dyDescent="0.25">
      <c r="A69" t="s">
        <v>17</v>
      </c>
      <c r="B69" s="4">
        <v>45902</v>
      </c>
      <c r="C69">
        <v>24</v>
      </c>
      <c r="D69" t="s">
        <v>74</v>
      </c>
      <c r="E69" t="s">
        <v>77</v>
      </c>
      <c r="F69">
        <v>13.82</v>
      </c>
      <c r="G69" t="s">
        <v>85</v>
      </c>
      <c r="H69">
        <v>13.82</v>
      </c>
      <c r="J69" s="2">
        <v>45870</v>
      </c>
      <c r="K69">
        <v>428.42</v>
      </c>
    </row>
    <row r="70" spans="1:11" x14ac:dyDescent="0.25">
      <c r="A70" t="s">
        <v>17</v>
      </c>
      <c r="B70" s="4">
        <v>45902</v>
      </c>
      <c r="C70">
        <v>24</v>
      </c>
      <c r="D70" t="s">
        <v>74</v>
      </c>
      <c r="E70" t="s">
        <v>77</v>
      </c>
      <c r="F70">
        <v>13.82</v>
      </c>
      <c r="G70" t="s">
        <v>85</v>
      </c>
      <c r="H70">
        <v>13.82</v>
      </c>
      <c r="J70" s="2">
        <v>45901</v>
      </c>
      <c r="K70">
        <v>414.6</v>
      </c>
    </row>
    <row r="71" spans="1:11" x14ac:dyDescent="0.25">
      <c r="A71" t="s">
        <v>17</v>
      </c>
      <c r="B71" s="4">
        <v>45902</v>
      </c>
      <c r="C71">
        <v>24</v>
      </c>
      <c r="D71" t="s">
        <v>74</v>
      </c>
      <c r="E71" t="s">
        <v>77</v>
      </c>
      <c r="F71">
        <v>13.82</v>
      </c>
      <c r="G71" t="s">
        <v>85</v>
      </c>
      <c r="H71">
        <v>13.82</v>
      </c>
      <c r="J71" s="2">
        <v>45931</v>
      </c>
      <c r="K71">
        <v>428.42</v>
      </c>
    </row>
    <row r="72" spans="1:11" x14ac:dyDescent="0.25">
      <c r="A72" t="s">
        <v>17</v>
      </c>
      <c r="B72" s="4">
        <v>45902</v>
      </c>
      <c r="C72">
        <v>24</v>
      </c>
      <c r="D72" t="s">
        <v>74</v>
      </c>
      <c r="E72" t="s">
        <v>77</v>
      </c>
      <c r="F72">
        <v>13.82</v>
      </c>
      <c r="G72" t="s">
        <v>85</v>
      </c>
      <c r="H72">
        <v>13.82</v>
      </c>
      <c r="J72" s="2">
        <v>45962</v>
      </c>
      <c r="K72">
        <v>414.6</v>
      </c>
    </row>
    <row r="73" spans="1:11" x14ac:dyDescent="0.25">
      <c r="A73" t="s">
        <v>17</v>
      </c>
      <c r="B73" s="4">
        <v>45902</v>
      </c>
      <c r="C73">
        <v>24</v>
      </c>
      <c r="D73" t="s">
        <v>74</v>
      </c>
      <c r="E73" t="s">
        <v>77</v>
      </c>
      <c r="F73">
        <v>13.82</v>
      </c>
      <c r="G73" t="s">
        <v>85</v>
      </c>
      <c r="H73">
        <v>13.82</v>
      </c>
      <c r="J73" s="2">
        <v>45992</v>
      </c>
      <c r="K73">
        <v>428.42</v>
      </c>
    </row>
    <row r="74" spans="1:11" x14ac:dyDescent="0.25">
      <c r="A74" t="s">
        <v>18</v>
      </c>
      <c r="B74" s="4">
        <v>45902</v>
      </c>
      <c r="C74">
        <v>24</v>
      </c>
      <c r="D74" t="s">
        <v>76</v>
      </c>
      <c r="E74" t="s">
        <v>78</v>
      </c>
      <c r="F74">
        <v>12.67</v>
      </c>
      <c r="G74" t="s">
        <v>86</v>
      </c>
      <c r="H74">
        <v>12.67</v>
      </c>
      <c r="J74" s="2">
        <v>45839</v>
      </c>
      <c r="K74">
        <v>392.77</v>
      </c>
    </row>
    <row r="75" spans="1:11" x14ac:dyDescent="0.25">
      <c r="A75" t="s">
        <v>18</v>
      </c>
      <c r="B75" s="4">
        <v>45902</v>
      </c>
      <c r="C75">
        <v>24</v>
      </c>
      <c r="D75" t="s">
        <v>76</v>
      </c>
      <c r="E75" t="s">
        <v>78</v>
      </c>
      <c r="F75">
        <v>12.67</v>
      </c>
      <c r="G75" t="s">
        <v>86</v>
      </c>
      <c r="H75">
        <v>12.67</v>
      </c>
      <c r="J75" s="2">
        <v>45870</v>
      </c>
      <c r="K75">
        <v>392.77</v>
      </c>
    </row>
    <row r="76" spans="1:11" x14ac:dyDescent="0.25">
      <c r="A76" t="s">
        <v>18</v>
      </c>
      <c r="B76" s="4">
        <v>45902</v>
      </c>
      <c r="C76">
        <v>24</v>
      </c>
      <c r="D76" t="s">
        <v>76</v>
      </c>
      <c r="E76" t="s">
        <v>78</v>
      </c>
      <c r="F76">
        <v>12.67</v>
      </c>
      <c r="G76" t="s">
        <v>86</v>
      </c>
      <c r="H76">
        <v>12.67</v>
      </c>
      <c r="J76" s="2">
        <v>45901</v>
      </c>
      <c r="K76">
        <v>380.1</v>
      </c>
    </row>
    <row r="77" spans="1:11" x14ac:dyDescent="0.25">
      <c r="A77" t="s">
        <v>18</v>
      </c>
      <c r="B77" s="4">
        <v>45902</v>
      </c>
      <c r="C77">
        <v>24</v>
      </c>
      <c r="D77" t="s">
        <v>76</v>
      </c>
      <c r="E77" t="s">
        <v>78</v>
      </c>
      <c r="F77">
        <v>12.67</v>
      </c>
      <c r="G77" t="s">
        <v>86</v>
      </c>
      <c r="H77">
        <v>12.67</v>
      </c>
      <c r="J77" s="2">
        <v>45931</v>
      </c>
      <c r="K77">
        <v>392.77</v>
      </c>
    </row>
    <row r="78" spans="1:11" x14ac:dyDescent="0.25">
      <c r="A78" t="s">
        <v>18</v>
      </c>
      <c r="B78" s="4">
        <v>45902</v>
      </c>
      <c r="C78">
        <v>24</v>
      </c>
      <c r="D78" t="s">
        <v>76</v>
      </c>
      <c r="E78" t="s">
        <v>78</v>
      </c>
      <c r="F78">
        <v>12.67</v>
      </c>
      <c r="G78" t="s">
        <v>86</v>
      </c>
      <c r="H78">
        <v>12.67</v>
      </c>
      <c r="J78" s="2">
        <v>45962</v>
      </c>
      <c r="K78">
        <v>380.1</v>
      </c>
    </row>
    <row r="79" spans="1:11" x14ac:dyDescent="0.25">
      <c r="A79" t="s">
        <v>18</v>
      </c>
      <c r="B79" s="4">
        <v>45902</v>
      </c>
      <c r="C79">
        <v>24</v>
      </c>
      <c r="D79" t="s">
        <v>76</v>
      </c>
      <c r="E79" t="s">
        <v>78</v>
      </c>
      <c r="F79">
        <v>12.67</v>
      </c>
      <c r="G79" t="s">
        <v>86</v>
      </c>
      <c r="H79">
        <v>12.67</v>
      </c>
      <c r="J79" s="2">
        <v>45992</v>
      </c>
      <c r="K79">
        <v>392.77</v>
      </c>
    </row>
    <row r="80" spans="1:11" x14ac:dyDescent="0.25">
      <c r="A80" t="s">
        <v>19</v>
      </c>
      <c r="B80" s="4">
        <v>45902</v>
      </c>
      <c r="C80">
        <v>24</v>
      </c>
      <c r="D80" t="s">
        <v>72</v>
      </c>
      <c r="E80" t="s">
        <v>77</v>
      </c>
      <c r="F80">
        <v>12.48</v>
      </c>
      <c r="G80" t="s">
        <v>87</v>
      </c>
      <c r="H80">
        <v>12.48</v>
      </c>
      <c r="J80" s="2">
        <v>45839</v>
      </c>
      <c r="K80">
        <v>386.88</v>
      </c>
    </row>
    <row r="81" spans="1:11" x14ac:dyDescent="0.25">
      <c r="A81" t="s">
        <v>19</v>
      </c>
      <c r="B81" s="4">
        <v>45902</v>
      </c>
      <c r="C81">
        <v>24</v>
      </c>
      <c r="D81" t="s">
        <v>72</v>
      </c>
      <c r="E81" t="s">
        <v>77</v>
      </c>
      <c r="F81">
        <v>12.48</v>
      </c>
      <c r="G81" t="s">
        <v>87</v>
      </c>
      <c r="H81">
        <v>12.48</v>
      </c>
      <c r="J81" s="2">
        <v>45870</v>
      </c>
      <c r="K81">
        <v>386.88</v>
      </c>
    </row>
    <row r="82" spans="1:11" x14ac:dyDescent="0.25">
      <c r="A82" t="s">
        <v>19</v>
      </c>
      <c r="B82" s="4">
        <v>45902</v>
      </c>
      <c r="C82">
        <v>24</v>
      </c>
      <c r="D82" t="s">
        <v>72</v>
      </c>
      <c r="E82" t="s">
        <v>77</v>
      </c>
      <c r="F82">
        <v>12.48</v>
      </c>
      <c r="G82" t="s">
        <v>87</v>
      </c>
      <c r="H82">
        <v>12.48</v>
      </c>
      <c r="J82" s="2">
        <v>45901</v>
      </c>
      <c r="K82">
        <v>374.4</v>
      </c>
    </row>
    <row r="83" spans="1:11" x14ac:dyDescent="0.25">
      <c r="A83" t="s">
        <v>19</v>
      </c>
      <c r="B83" s="4">
        <v>45902</v>
      </c>
      <c r="C83">
        <v>24</v>
      </c>
      <c r="D83" t="s">
        <v>72</v>
      </c>
      <c r="E83" t="s">
        <v>77</v>
      </c>
      <c r="F83">
        <v>12.48</v>
      </c>
      <c r="G83" t="s">
        <v>87</v>
      </c>
      <c r="H83">
        <v>12.48</v>
      </c>
      <c r="J83" s="2">
        <v>45931</v>
      </c>
      <c r="K83">
        <v>386.88</v>
      </c>
    </row>
    <row r="84" spans="1:11" x14ac:dyDescent="0.25">
      <c r="A84" t="s">
        <v>19</v>
      </c>
      <c r="B84" s="4">
        <v>45902</v>
      </c>
      <c r="C84">
        <v>24</v>
      </c>
      <c r="D84" t="s">
        <v>72</v>
      </c>
      <c r="E84" t="s">
        <v>77</v>
      </c>
      <c r="F84">
        <v>12.48</v>
      </c>
      <c r="G84" t="s">
        <v>87</v>
      </c>
      <c r="H84">
        <v>12.48</v>
      </c>
      <c r="J84" s="2">
        <v>45962</v>
      </c>
      <c r="K84">
        <v>374.4</v>
      </c>
    </row>
    <row r="85" spans="1:11" x14ac:dyDescent="0.25">
      <c r="A85" t="s">
        <v>19</v>
      </c>
      <c r="B85" s="4">
        <v>45902</v>
      </c>
      <c r="C85">
        <v>24</v>
      </c>
      <c r="D85" t="s">
        <v>72</v>
      </c>
      <c r="E85" t="s">
        <v>77</v>
      </c>
      <c r="F85">
        <v>12.48</v>
      </c>
      <c r="G85" t="s">
        <v>87</v>
      </c>
      <c r="H85">
        <v>12.48</v>
      </c>
      <c r="J85" s="2">
        <v>45992</v>
      </c>
      <c r="K85">
        <v>386.88</v>
      </c>
    </row>
    <row r="86" spans="1:11" x14ac:dyDescent="0.25">
      <c r="A86" t="s">
        <v>20</v>
      </c>
      <c r="B86" s="4">
        <v>45902</v>
      </c>
      <c r="C86">
        <v>24</v>
      </c>
      <c r="D86" t="s">
        <v>74</v>
      </c>
      <c r="E86" t="s">
        <v>77</v>
      </c>
      <c r="F86">
        <v>11.91</v>
      </c>
      <c r="G86" t="s">
        <v>88</v>
      </c>
      <c r="H86">
        <v>11.91</v>
      </c>
      <c r="J86" s="2">
        <v>45839</v>
      </c>
      <c r="K86">
        <v>369.21</v>
      </c>
    </row>
    <row r="87" spans="1:11" x14ac:dyDescent="0.25">
      <c r="A87" t="s">
        <v>20</v>
      </c>
      <c r="B87" s="4">
        <v>45902</v>
      </c>
      <c r="C87">
        <v>24</v>
      </c>
      <c r="D87" t="s">
        <v>74</v>
      </c>
      <c r="E87" t="s">
        <v>77</v>
      </c>
      <c r="F87">
        <v>11.91</v>
      </c>
      <c r="G87" t="s">
        <v>88</v>
      </c>
      <c r="H87">
        <v>11.91</v>
      </c>
      <c r="J87" s="2">
        <v>45870</v>
      </c>
      <c r="K87">
        <v>369.21</v>
      </c>
    </row>
    <row r="88" spans="1:11" x14ac:dyDescent="0.25">
      <c r="A88" t="s">
        <v>20</v>
      </c>
      <c r="B88" s="4">
        <v>45902</v>
      </c>
      <c r="C88">
        <v>24</v>
      </c>
      <c r="D88" t="s">
        <v>74</v>
      </c>
      <c r="E88" t="s">
        <v>77</v>
      </c>
      <c r="F88">
        <v>11.91</v>
      </c>
      <c r="G88" t="s">
        <v>88</v>
      </c>
      <c r="H88">
        <v>11.91</v>
      </c>
      <c r="J88" s="2">
        <v>45901</v>
      </c>
      <c r="K88">
        <v>357.3</v>
      </c>
    </row>
    <row r="89" spans="1:11" x14ac:dyDescent="0.25">
      <c r="A89" t="s">
        <v>20</v>
      </c>
      <c r="B89" s="4">
        <v>45902</v>
      </c>
      <c r="C89">
        <v>24</v>
      </c>
      <c r="D89" t="s">
        <v>74</v>
      </c>
      <c r="E89" t="s">
        <v>77</v>
      </c>
      <c r="F89">
        <v>11.91</v>
      </c>
      <c r="G89" t="s">
        <v>88</v>
      </c>
      <c r="H89">
        <v>11.91</v>
      </c>
      <c r="J89" s="2">
        <v>45931</v>
      </c>
      <c r="K89">
        <v>369.21</v>
      </c>
    </row>
    <row r="90" spans="1:11" x14ac:dyDescent="0.25">
      <c r="A90" t="s">
        <v>20</v>
      </c>
      <c r="B90" s="4">
        <v>45902</v>
      </c>
      <c r="C90">
        <v>24</v>
      </c>
      <c r="D90" t="s">
        <v>74</v>
      </c>
      <c r="E90" t="s">
        <v>77</v>
      </c>
      <c r="F90">
        <v>11.91</v>
      </c>
      <c r="G90" t="s">
        <v>88</v>
      </c>
      <c r="H90">
        <v>11.91</v>
      </c>
      <c r="J90" s="2">
        <v>45962</v>
      </c>
      <c r="K90">
        <v>357.3</v>
      </c>
    </row>
    <row r="91" spans="1:11" x14ac:dyDescent="0.25">
      <c r="A91" t="s">
        <v>20</v>
      </c>
      <c r="B91" s="4">
        <v>45902</v>
      </c>
      <c r="C91">
        <v>24</v>
      </c>
      <c r="D91" t="s">
        <v>74</v>
      </c>
      <c r="E91" t="s">
        <v>77</v>
      </c>
      <c r="F91">
        <v>11.91</v>
      </c>
      <c r="G91" t="s">
        <v>88</v>
      </c>
      <c r="H91">
        <v>11.91</v>
      </c>
      <c r="J91" s="2">
        <v>45992</v>
      </c>
      <c r="K91">
        <v>369.21</v>
      </c>
    </row>
    <row r="92" spans="1:11" x14ac:dyDescent="0.25">
      <c r="A92" t="s">
        <v>21</v>
      </c>
      <c r="B92" s="4">
        <v>45902</v>
      </c>
      <c r="C92">
        <v>24</v>
      </c>
      <c r="D92" t="s">
        <v>72</v>
      </c>
      <c r="E92" t="s">
        <v>77</v>
      </c>
      <c r="F92">
        <v>9.94</v>
      </c>
      <c r="G92" t="s">
        <v>89</v>
      </c>
      <c r="H92">
        <v>9.94</v>
      </c>
      <c r="J92" s="2">
        <v>45839</v>
      </c>
      <c r="K92">
        <v>308.14</v>
      </c>
    </row>
    <row r="93" spans="1:11" x14ac:dyDescent="0.25">
      <c r="A93" t="s">
        <v>21</v>
      </c>
      <c r="B93" s="4">
        <v>45902</v>
      </c>
      <c r="C93">
        <v>24</v>
      </c>
      <c r="D93" t="s">
        <v>72</v>
      </c>
      <c r="E93" t="s">
        <v>77</v>
      </c>
      <c r="F93">
        <v>9.94</v>
      </c>
      <c r="G93" t="s">
        <v>89</v>
      </c>
      <c r="H93">
        <v>9.94</v>
      </c>
      <c r="J93" s="2">
        <v>45870</v>
      </c>
      <c r="K93">
        <v>308.14</v>
      </c>
    </row>
    <row r="94" spans="1:11" x14ac:dyDescent="0.25">
      <c r="A94" t="s">
        <v>21</v>
      </c>
      <c r="B94" s="4">
        <v>45902</v>
      </c>
      <c r="C94">
        <v>24</v>
      </c>
      <c r="D94" t="s">
        <v>72</v>
      </c>
      <c r="E94" t="s">
        <v>77</v>
      </c>
      <c r="F94">
        <v>9.94</v>
      </c>
      <c r="G94" t="s">
        <v>89</v>
      </c>
      <c r="H94">
        <v>9.94</v>
      </c>
      <c r="J94" s="2">
        <v>45901</v>
      </c>
      <c r="K94">
        <v>298.2</v>
      </c>
    </row>
    <row r="95" spans="1:11" x14ac:dyDescent="0.25">
      <c r="A95" t="s">
        <v>21</v>
      </c>
      <c r="B95" s="4">
        <v>45902</v>
      </c>
      <c r="C95">
        <v>24</v>
      </c>
      <c r="D95" t="s">
        <v>72</v>
      </c>
      <c r="E95" t="s">
        <v>77</v>
      </c>
      <c r="F95">
        <v>9.94</v>
      </c>
      <c r="G95" t="s">
        <v>89</v>
      </c>
      <c r="H95">
        <v>9.94</v>
      </c>
      <c r="J95" s="2">
        <v>45931</v>
      </c>
      <c r="K95">
        <v>308.14</v>
      </c>
    </row>
    <row r="96" spans="1:11" x14ac:dyDescent="0.25">
      <c r="A96" t="s">
        <v>21</v>
      </c>
      <c r="B96" s="4">
        <v>45902</v>
      </c>
      <c r="C96">
        <v>24</v>
      </c>
      <c r="D96" t="s">
        <v>72</v>
      </c>
      <c r="E96" t="s">
        <v>77</v>
      </c>
      <c r="F96">
        <v>9.94</v>
      </c>
      <c r="G96" t="s">
        <v>89</v>
      </c>
      <c r="H96">
        <v>9.94</v>
      </c>
      <c r="J96" s="2">
        <v>45962</v>
      </c>
      <c r="K96">
        <v>298.2</v>
      </c>
    </row>
    <row r="97" spans="1:11" x14ac:dyDescent="0.25">
      <c r="A97" t="s">
        <v>21</v>
      </c>
      <c r="B97" s="4">
        <v>45902</v>
      </c>
      <c r="C97">
        <v>24</v>
      </c>
      <c r="D97" t="s">
        <v>72</v>
      </c>
      <c r="E97" t="s">
        <v>77</v>
      </c>
      <c r="F97">
        <v>9.94</v>
      </c>
      <c r="G97" t="s">
        <v>89</v>
      </c>
      <c r="H97">
        <v>9.94</v>
      </c>
      <c r="J97" s="2">
        <v>45992</v>
      </c>
      <c r="K97">
        <v>308.14</v>
      </c>
    </row>
    <row r="98" spans="1:11" x14ac:dyDescent="0.25">
      <c r="A98" t="s">
        <v>22</v>
      </c>
      <c r="B98" s="4">
        <v>45902</v>
      </c>
      <c r="C98">
        <v>24</v>
      </c>
      <c r="D98" t="s">
        <v>74</v>
      </c>
      <c r="E98" t="s">
        <v>77</v>
      </c>
      <c r="F98">
        <v>9.6300000000000008</v>
      </c>
      <c r="G98" t="s">
        <v>90</v>
      </c>
      <c r="H98">
        <v>9.6300000000000008</v>
      </c>
      <c r="J98" s="2">
        <v>45839</v>
      </c>
      <c r="K98">
        <v>298.52999999999997</v>
      </c>
    </row>
    <row r="99" spans="1:11" x14ac:dyDescent="0.25">
      <c r="A99" t="s">
        <v>22</v>
      </c>
      <c r="B99" s="4">
        <v>45902</v>
      </c>
      <c r="C99">
        <v>24</v>
      </c>
      <c r="D99" t="s">
        <v>74</v>
      </c>
      <c r="E99" t="s">
        <v>77</v>
      </c>
      <c r="F99">
        <v>9.6300000000000008</v>
      </c>
      <c r="G99" t="s">
        <v>90</v>
      </c>
      <c r="H99">
        <v>9.6300000000000008</v>
      </c>
      <c r="J99" s="2">
        <v>45870</v>
      </c>
      <c r="K99">
        <v>298.52999999999997</v>
      </c>
    </row>
    <row r="100" spans="1:11" x14ac:dyDescent="0.25">
      <c r="A100" t="s">
        <v>22</v>
      </c>
      <c r="B100" s="4">
        <v>45902</v>
      </c>
      <c r="C100">
        <v>24</v>
      </c>
      <c r="D100" t="s">
        <v>74</v>
      </c>
      <c r="E100" t="s">
        <v>77</v>
      </c>
      <c r="F100">
        <v>9.6300000000000008</v>
      </c>
      <c r="G100" t="s">
        <v>90</v>
      </c>
      <c r="H100">
        <v>9.6300000000000008</v>
      </c>
      <c r="J100" s="2">
        <v>45901</v>
      </c>
      <c r="K100">
        <v>288.89999999999998</v>
      </c>
    </row>
    <row r="101" spans="1:11" x14ac:dyDescent="0.25">
      <c r="A101" t="s">
        <v>22</v>
      </c>
      <c r="B101" s="4">
        <v>45902</v>
      </c>
      <c r="C101">
        <v>24</v>
      </c>
      <c r="D101" t="s">
        <v>74</v>
      </c>
      <c r="E101" t="s">
        <v>77</v>
      </c>
      <c r="F101">
        <v>9.6300000000000008</v>
      </c>
      <c r="G101" t="s">
        <v>90</v>
      </c>
      <c r="H101">
        <v>9.6300000000000008</v>
      </c>
      <c r="J101" s="2">
        <v>45931</v>
      </c>
      <c r="K101">
        <v>298.52999999999997</v>
      </c>
    </row>
    <row r="102" spans="1:11" x14ac:dyDescent="0.25">
      <c r="A102" t="s">
        <v>22</v>
      </c>
      <c r="B102" s="4">
        <v>45902</v>
      </c>
      <c r="C102">
        <v>24</v>
      </c>
      <c r="D102" t="s">
        <v>74</v>
      </c>
      <c r="E102" t="s">
        <v>77</v>
      </c>
      <c r="F102">
        <v>9.6300000000000008</v>
      </c>
      <c r="G102" t="s">
        <v>90</v>
      </c>
      <c r="H102">
        <v>9.6300000000000008</v>
      </c>
      <c r="J102" s="2">
        <v>45962</v>
      </c>
      <c r="K102">
        <v>288.89999999999998</v>
      </c>
    </row>
    <row r="103" spans="1:11" x14ac:dyDescent="0.25">
      <c r="A103" t="s">
        <v>22</v>
      </c>
      <c r="B103" s="4">
        <v>45902</v>
      </c>
      <c r="C103">
        <v>24</v>
      </c>
      <c r="D103" t="s">
        <v>74</v>
      </c>
      <c r="E103" t="s">
        <v>77</v>
      </c>
      <c r="F103">
        <v>9.6300000000000008</v>
      </c>
      <c r="G103" t="s">
        <v>90</v>
      </c>
      <c r="H103">
        <v>9.6300000000000008</v>
      </c>
      <c r="J103" s="2">
        <v>45992</v>
      </c>
      <c r="K103">
        <v>298.52999999999997</v>
      </c>
    </row>
    <row r="104" spans="1:11" x14ac:dyDescent="0.25">
      <c r="A104" t="s">
        <v>43</v>
      </c>
      <c r="B104" s="4">
        <v>45902</v>
      </c>
      <c r="C104">
        <v>24</v>
      </c>
      <c r="D104" t="s">
        <v>76</v>
      </c>
      <c r="E104" t="s">
        <v>78</v>
      </c>
      <c r="F104">
        <v>3.52</v>
      </c>
      <c r="G104" t="s">
        <v>111</v>
      </c>
      <c r="H104">
        <v>8.6199999999999992</v>
      </c>
      <c r="J104" s="2">
        <v>45839</v>
      </c>
      <c r="K104">
        <v>109.12</v>
      </c>
    </row>
    <row r="105" spans="1:11" x14ac:dyDescent="0.25">
      <c r="A105" t="s">
        <v>43</v>
      </c>
      <c r="B105" s="4">
        <v>45902</v>
      </c>
      <c r="C105">
        <v>24</v>
      </c>
      <c r="D105" t="s">
        <v>76</v>
      </c>
      <c r="E105" t="s">
        <v>78</v>
      </c>
      <c r="F105">
        <v>3.52</v>
      </c>
      <c r="G105" t="s">
        <v>111</v>
      </c>
      <c r="H105">
        <v>8.6199999999999992</v>
      </c>
      <c r="J105" s="2">
        <v>45870</v>
      </c>
      <c r="K105">
        <v>109.12</v>
      </c>
    </row>
    <row r="106" spans="1:11" x14ac:dyDescent="0.25">
      <c r="A106" t="s">
        <v>43</v>
      </c>
      <c r="B106" s="4">
        <v>45902</v>
      </c>
      <c r="C106">
        <v>24</v>
      </c>
      <c r="D106" t="s">
        <v>76</v>
      </c>
      <c r="E106" t="s">
        <v>78</v>
      </c>
      <c r="F106">
        <v>3.52</v>
      </c>
      <c r="G106" t="s">
        <v>111</v>
      </c>
      <c r="H106">
        <v>8.6199999999999992</v>
      </c>
      <c r="J106" s="2">
        <v>45901</v>
      </c>
      <c r="K106">
        <v>105.6</v>
      </c>
    </row>
    <row r="107" spans="1:11" x14ac:dyDescent="0.25">
      <c r="A107" t="s">
        <v>43</v>
      </c>
      <c r="B107" s="4">
        <v>45902</v>
      </c>
      <c r="C107">
        <v>24</v>
      </c>
      <c r="D107" t="s">
        <v>76</v>
      </c>
      <c r="E107" t="s">
        <v>78</v>
      </c>
      <c r="F107">
        <v>3.52</v>
      </c>
      <c r="G107" t="s">
        <v>111</v>
      </c>
      <c r="H107">
        <v>8.6199999999999992</v>
      </c>
      <c r="J107" s="2">
        <v>45931</v>
      </c>
      <c r="K107">
        <v>109.12</v>
      </c>
    </row>
    <row r="108" spans="1:11" x14ac:dyDescent="0.25">
      <c r="A108" t="s">
        <v>43</v>
      </c>
      <c r="B108" s="4">
        <v>45902</v>
      </c>
      <c r="C108">
        <v>24</v>
      </c>
      <c r="D108" t="s">
        <v>76</v>
      </c>
      <c r="E108" t="s">
        <v>78</v>
      </c>
      <c r="F108">
        <v>3.52</v>
      </c>
      <c r="G108" t="s">
        <v>111</v>
      </c>
      <c r="H108">
        <v>8.6199999999999992</v>
      </c>
      <c r="J108" s="2">
        <v>45962</v>
      </c>
      <c r="K108">
        <v>105.6</v>
      </c>
    </row>
    <row r="109" spans="1:11" x14ac:dyDescent="0.25">
      <c r="A109" t="s">
        <v>43</v>
      </c>
      <c r="B109" s="4">
        <v>45902</v>
      </c>
      <c r="C109">
        <v>24</v>
      </c>
      <c r="D109" t="s">
        <v>76</v>
      </c>
      <c r="E109" t="s">
        <v>78</v>
      </c>
      <c r="F109">
        <v>3.52</v>
      </c>
      <c r="G109" t="s">
        <v>111</v>
      </c>
      <c r="H109">
        <v>8.6199999999999992</v>
      </c>
      <c r="J109" s="2">
        <v>45992</v>
      </c>
      <c r="K109">
        <v>109.12</v>
      </c>
    </row>
    <row r="110" spans="1:11" x14ac:dyDescent="0.25">
      <c r="A110" t="s">
        <v>24</v>
      </c>
      <c r="B110" s="4">
        <v>45902</v>
      </c>
      <c r="C110">
        <v>24</v>
      </c>
      <c r="D110" t="s">
        <v>76</v>
      </c>
      <c r="E110" t="s">
        <v>78</v>
      </c>
      <c r="F110">
        <v>8.24</v>
      </c>
      <c r="G110" t="s">
        <v>92</v>
      </c>
      <c r="H110">
        <v>8.24</v>
      </c>
      <c r="J110" s="2">
        <v>45839</v>
      </c>
      <c r="K110">
        <v>255.44</v>
      </c>
    </row>
    <row r="111" spans="1:11" x14ac:dyDescent="0.25">
      <c r="A111" t="s">
        <v>24</v>
      </c>
      <c r="B111" s="4">
        <v>45902</v>
      </c>
      <c r="C111">
        <v>24</v>
      </c>
      <c r="D111" t="s">
        <v>76</v>
      </c>
      <c r="E111" t="s">
        <v>78</v>
      </c>
      <c r="F111">
        <v>8.24</v>
      </c>
      <c r="G111" t="s">
        <v>92</v>
      </c>
      <c r="H111">
        <v>8.24</v>
      </c>
      <c r="J111" s="2">
        <v>45870</v>
      </c>
      <c r="K111">
        <v>255.44</v>
      </c>
    </row>
    <row r="112" spans="1:11" x14ac:dyDescent="0.25">
      <c r="A112" t="s">
        <v>24</v>
      </c>
      <c r="B112" s="4">
        <v>45902</v>
      </c>
      <c r="C112">
        <v>24</v>
      </c>
      <c r="D112" t="s">
        <v>76</v>
      </c>
      <c r="E112" t="s">
        <v>78</v>
      </c>
      <c r="F112">
        <v>8.24</v>
      </c>
      <c r="G112" t="s">
        <v>92</v>
      </c>
      <c r="H112">
        <v>8.24</v>
      </c>
      <c r="J112" s="2">
        <v>45901</v>
      </c>
      <c r="K112">
        <v>247.2</v>
      </c>
    </row>
    <row r="113" spans="1:11" x14ac:dyDescent="0.25">
      <c r="A113" t="s">
        <v>24</v>
      </c>
      <c r="B113" s="4">
        <v>45902</v>
      </c>
      <c r="C113">
        <v>24</v>
      </c>
      <c r="D113" t="s">
        <v>76</v>
      </c>
      <c r="E113" t="s">
        <v>78</v>
      </c>
      <c r="F113">
        <v>8.24</v>
      </c>
      <c r="G113" t="s">
        <v>92</v>
      </c>
      <c r="H113">
        <v>8.24</v>
      </c>
      <c r="J113" s="2">
        <v>45931</v>
      </c>
      <c r="K113">
        <v>255.44</v>
      </c>
    </row>
    <row r="114" spans="1:11" x14ac:dyDescent="0.25">
      <c r="A114" t="s">
        <v>24</v>
      </c>
      <c r="B114" s="4">
        <v>45902</v>
      </c>
      <c r="C114">
        <v>24</v>
      </c>
      <c r="D114" t="s">
        <v>76</v>
      </c>
      <c r="E114" t="s">
        <v>78</v>
      </c>
      <c r="F114">
        <v>8.24</v>
      </c>
      <c r="G114" t="s">
        <v>92</v>
      </c>
      <c r="H114">
        <v>8.24</v>
      </c>
      <c r="J114" s="2">
        <v>45962</v>
      </c>
      <c r="K114">
        <v>247.2</v>
      </c>
    </row>
    <row r="115" spans="1:11" x14ac:dyDescent="0.25">
      <c r="A115" t="s">
        <v>24</v>
      </c>
      <c r="B115" s="4">
        <v>45902</v>
      </c>
      <c r="C115">
        <v>24</v>
      </c>
      <c r="D115" t="s">
        <v>76</v>
      </c>
      <c r="E115" t="s">
        <v>78</v>
      </c>
      <c r="F115">
        <v>8.24</v>
      </c>
      <c r="G115" t="s">
        <v>92</v>
      </c>
      <c r="H115">
        <v>8.24</v>
      </c>
      <c r="J115" s="2">
        <v>45992</v>
      </c>
      <c r="K115">
        <v>255.44</v>
      </c>
    </row>
    <row r="116" spans="1:11" x14ac:dyDescent="0.25">
      <c r="A116" t="s">
        <v>25</v>
      </c>
      <c r="B116" s="4">
        <v>45902</v>
      </c>
      <c r="C116">
        <v>24</v>
      </c>
      <c r="D116" t="s">
        <v>72</v>
      </c>
      <c r="E116" t="s">
        <v>77</v>
      </c>
      <c r="F116">
        <v>7.8</v>
      </c>
      <c r="G116" t="s">
        <v>93</v>
      </c>
      <c r="H116">
        <v>7.8</v>
      </c>
      <c r="J116" s="2">
        <v>45839</v>
      </c>
      <c r="K116">
        <v>241.8</v>
      </c>
    </row>
    <row r="117" spans="1:11" x14ac:dyDescent="0.25">
      <c r="A117" t="s">
        <v>25</v>
      </c>
      <c r="B117" s="4">
        <v>45902</v>
      </c>
      <c r="C117">
        <v>24</v>
      </c>
      <c r="D117" t="s">
        <v>72</v>
      </c>
      <c r="E117" t="s">
        <v>77</v>
      </c>
      <c r="F117">
        <v>7.8</v>
      </c>
      <c r="G117" t="s">
        <v>93</v>
      </c>
      <c r="H117">
        <v>7.8</v>
      </c>
      <c r="J117" s="2">
        <v>45870</v>
      </c>
      <c r="K117">
        <v>241.8</v>
      </c>
    </row>
    <row r="118" spans="1:11" x14ac:dyDescent="0.25">
      <c r="A118" t="s">
        <v>25</v>
      </c>
      <c r="B118" s="4">
        <v>45902</v>
      </c>
      <c r="C118">
        <v>24</v>
      </c>
      <c r="D118" t="s">
        <v>72</v>
      </c>
      <c r="E118" t="s">
        <v>77</v>
      </c>
      <c r="F118">
        <v>7.8</v>
      </c>
      <c r="G118" t="s">
        <v>93</v>
      </c>
      <c r="H118">
        <v>7.8</v>
      </c>
      <c r="J118" s="2">
        <v>45901</v>
      </c>
      <c r="K118">
        <v>234</v>
      </c>
    </row>
    <row r="119" spans="1:11" x14ac:dyDescent="0.25">
      <c r="A119" t="s">
        <v>25</v>
      </c>
      <c r="B119" s="4">
        <v>45902</v>
      </c>
      <c r="C119">
        <v>24</v>
      </c>
      <c r="D119" t="s">
        <v>72</v>
      </c>
      <c r="E119" t="s">
        <v>77</v>
      </c>
      <c r="F119">
        <v>7.8</v>
      </c>
      <c r="G119" t="s">
        <v>93</v>
      </c>
      <c r="H119">
        <v>7.8</v>
      </c>
      <c r="J119" s="2">
        <v>45931</v>
      </c>
      <c r="K119">
        <v>241.8</v>
      </c>
    </row>
    <row r="120" spans="1:11" x14ac:dyDescent="0.25">
      <c r="A120" t="s">
        <v>25</v>
      </c>
      <c r="B120" s="4">
        <v>45902</v>
      </c>
      <c r="C120">
        <v>24</v>
      </c>
      <c r="D120" t="s">
        <v>72</v>
      </c>
      <c r="E120" t="s">
        <v>77</v>
      </c>
      <c r="F120">
        <v>7.8</v>
      </c>
      <c r="G120" t="s">
        <v>93</v>
      </c>
      <c r="H120">
        <v>7.8</v>
      </c>
      <c r="J120" s="2">
        <v>45962</v>
      </c>
      <c r="K120">
        <v>234</v>
      </c>
    </row>
    <row r="121" spans="1:11" x14ac:dyDescent="0.25">
      <c r="A121" t="s">
        <v>25</v>
      </c>
      <c r="B121" s="4">
        <v>45902</v>
      </c>
      <c r="C121">
        <v>24</v>
      </c>
      <c r="D121" t="s">
        <v>72</v>
      </c>
      <c r="E121" t="s">
        <v>77</v>
      </c>
      <c r="F121">
        <v>7.8</v>
      </c>
      <c r="G121" t="s">
        <v>93</v>
      </c>
      <c r="H121">
        <v>7.8</v>
      </c>
      <c r="J121" s="2">
        <v>45992</v>
      </c>
      <c r="K121">
        <v>241.8</v>
      </c>
    </row>
    <row r="122" spans="1:11" x14ac:dyDescent="0.25">
      <c r="A122" t="s">
        <v>26</v>
      </c>
      <c r="B122" s="4">
        <v>45902</v>
      </c>
      <c r="C122">
        <v>24</v>
      </c>
      <c r="D122" t="s">
        <v>76</v>
      </c>
      <c r="E122" t="s">
        <v>78</v>
      </c>
      <c r="F122">
        <v>7.76</v>
      </c>
      <c r="G122" t="s">
        <v>94</v>
      </c>
      <c r="H122">
        <v>7.76</v>
      </c>
      <c r="J122" s="2">
        <v>45839</v>
      </c>
      <c r="K122">
        <v>240.56</v>
      </c>
    </row>
    <row r="123" spans="1:11" x14ac:dyDescent="0.25">
      <c r="A123" t="s">
        <v>26</v>
      </c>
      <c r="B123" s="4">
        <v>45902</v>
      </c>
      <c r="C123">
        <v>24</v>
      </c>
      <c r="D123" t="s">
        <v>76</v>
      </c>
      <c r="E123" t="s">
        <v>78</v>
      </c>
      <c r="F123">
        <v>7.76</v>
      </c>
      <c r="G123" t="s">
        <v>94</v>
      </c>
      <c r="H123">
        <v>7.76</v>
      </c>
      <c r="J123" s="2">
        <v>45870</v>
      </c>
      <c r="K123">
        <v>240.56</v>
      </c>
    </row>
    <row r="124" spans="1:11" x14ac:dyDescent="0.25">
      <c r="A124" t="s">
        <v>26</v>
      </c>
      <c r="B124" s="4">
        <v>45902</v>
      </c>
      <c r="C124">
        <v>24</v>
      </c>
      <c r="D124" t="s">
        <v>76</v>
      </c>
      <c r="E124" t="s">
        <v>78</v>
      </c>
      <c r="F124">
        <v>7.76</v>
      </c>
      <c r="G124" t="s">
        <v>94</v>
      </c>
      <c r="H124">
        <v>7.76</v>
      </c>
      <c r="J124" s="2">
        <v>45901</v>
      </c>
      <c r="K124">
        <v>232.8</v>
      </c>
    </row>
    <row r="125" spans="1:11" x14ac:dyDescent="0.25">
      <c r="A125" t="s">
        <v>26</v>
      </c>
      <c r="B125" s="4">
        <v>45902</v>
      </c>
      <c r="C125">
        <v>24</v>
      </c>
      <c r="D125" t="s">
        <v>76</v>
      </c>
      <c r="E125" t="s">
        <v>78</v>
      </c>
      <c r="F125">
        <v>7.76</v>
      </c>
      <c r="G125" t="s">
        <v>94</v>
      </c>
      <c r="H125">
        <v>7.76</v>
      </c>
      <c r="J125" s="2">
        <v>45931</v>
      </c>
      <c r="K125">
        <v>240.56</v>
      </c>
    </row>
    <row r="126" spans="1:11" x14ac:dyDescent="0.25">
      <c r="A126" t="s">
        <v>26</v>
      </c>
      <c r="B126" s="4">
        <v>45902</v>
      </c>
      <c r="C126">
        <v>24</v>
      </c>
      <c r="D126" t="s">
        <v>76</v>
      </c>
      <c r="E126" t="s">
        <v>78</v>
      </c>
      <c r="F126">
        <v>7.76</v>
      </c>
      <c r="G126" t="s">
        <v>94</v>
      </c>
      <c r="H126">
        <v>7.76</v>
      </c>
      <c r="J126" s="2">
        <v>45962</v>
      </c>
      <c r="K126">
        <v>232.8</v>
      </c>
    </row>
    <row r="127" spans="1:11" x14ac:dyDescent="0.25">
      <c r="A127" t="s">
        <v>26</v>
      </c>
      <c r="B127" s="4">
        <v>45902</v>
      </c>
      <c r="C127">
        <v>24</v>
      </c>
      <c r="D127" t="s">
        <v>76</v>
      </c>
      <c r="E127" t="s">
        <v>78</v>
      </c>
      <c r="F127">
        <v>7.76</v>
      </c>
      <c r="G127" t="s">
        <v>94</v>
      </c>
      <c r="H127">
        <v>7.76</v>
      </c>
      <c r="J127" s="2">
        <v>45992</v>
      </c>
      <c r="K127">
        <v>240.56</v>
      </c>
    </row>
    <row r="128" spans="1:11" x14ac:dyDescent="0.25">
      <c r="A128" t="s">
        <v>55</v>
      </c>
      <c r="B128" s="4">
        <v>45902</v>
      </c>
      <c r="C128">
        <v>24</v>
      </c>
      <c r="D128" t="s">
        <v>74</v>
      </c>
      <c r="E128" t="s">
        <v>77</v>
      </c>
      <c r="F128">
        <v>2.48</v>
      </c>
      <c r="G128" t="s">
        <v>123</v>
      </c>
      <c r="H128">
        <v>7.27</v>
      </c>
      <c r="J128" s="2">
        <v>45839</v>
      </c>
      <c r="K128">
        <v>76.88</v>
      </c>
    </row>
    <row r="129" spans="1:11" x14ac:dyDescent="0.25">
      <c r="A129" t="s">
        <v>55</v>
      </c>
      <c r="B129" s="4">
        <v>45902</v>
      </c>
      <c r="C129">
        <v>24</v>
      </c>
      <c r="D129" t="s">
        <v>74</v>
      </c>
      <c r="E129" t="s">
        <v>77</v>
      </c>
      <c r="F129">
        <v>2.48</v>
      </c>
      <c r="G129" t="s">
        <v>123</v>
      </c>
      <c r="H129">
        <v>7.27</v>
      </c>
      <c r="J129" s="2">
        <v>45870</v>
      </c>
      <c r="K129">
        <v>76.88</v>
      </c>
    </row>
    <row r="130" spans="1:11" x14ac:dyDescent="0.25">
      <c r="A130" t="s">
        <v>55</v>
      </c>
      <c r="B130" s="4">
        <v>45902</v>
      </c>
      <c r="C130">
        <v>24</v>
      </c>
      <c r="D130" t="s">
        <v>74</v>
      </c>
      <c r="E130" t="s">
        <v>77</v>
      </c>
      <c r="F130">
        <v>2.48</v>
      </c>
      <c r="G130" t="s">
        <v>123</v>
      </c>
      <c r="H130">
        <v>7.27</v>
      </c>
      <c r="J130" s="2">
        <v>45901</v>
      </c>
      <c r="K130">
        <v>74.400000000000006</v>
      </c>
    </row>
    <row r="131" spans="1:11" x14ac:dyDescent="0.25">
      <c r="A131" t="s">
        <v>55</v>
      </c>
      <c r="B131" s="4">
        <v>45902</v>
      </c>
      <c r="C131">
        <v>24</v>
      </c>
      <c r="D131" t="s">
        <v>74</v>
      </c>
      <c r="E131" t="s">
        <v>77</v>
      </c>
      <c r="F131">
        <v>2.48</v>
      </c>
      <c r="G131" t="s">
        <v>123</v>
      </c>
      <c r="H131">
        <v>7.27</v>
      </c>
      <c r="J131" s="2">
        <v>45931</v>
      </c>
      <c r="K131">
        <v>76.88</v>
      </c>
    </row>
    <row r="132" spans="1:11" x14ac:dyDescent="0.25">
      <c r="A132" t="s">
        <v>55</v>
      </c>
      <c r="B132" s="4">
        <v>45902</v>
      </c>
      <c r="C132">
        <v>24</v>
      </c>
      <c r="D132" t="s">
        <v>74</v>
      </c>
      <c r="E132" t="s">
        <v>77</v>
      </c>
      <c r="F132">
        <v>2.48</v>
      </c>
      <c r="G132" t="s">
        <v>123</v>
      </c>
      <c r="H132">
        <v>7.27</v>
      </c>
      <c r="J132" s="2">
        <v>45962</v>
      </c>
      <c r="K132">
        <v>74.400000000000006</v>
      </c>
    </row>
    <row r="133" spans="1:11" x14ac:dyDescent="0.25">
      <c r="A133" t="s">
        <v>55</v>
      </c>
      <c r="B133" s="4">
        <v>45902</v>
      </c>
      <c r="C133">
        <v>24</v>
      </c>
      <c r="D133" t="s">
        <v>74</v>
      </c>
      <c r="E133" t="s">
        <v>77</v>
      </c>
      <c r="F133">
        <v>2.48</v>
      </c>
      <c r="G133" t="s">
        <v>123</v>
      </c>
      <c r="H133">
        <v>7.27</v>
      </c>
      <c r="J133" s="2">
        <v>45992</v>
      </c>
      <c r="K133">
        <v>76.88</v>
      </c>
    </row>
    <row r="134" spans="1:11" x14ac:dyDescent="0.25">
      <c r="A134" t="s">
        <v>27</v>
      </c>
      <c r="B134" s="4">
        <v>45902</v>
      </c>
      <c r="C134">
        <v>24</v>
      </c>
      <c r="D134" t="s">
        <v>72</v>
      </c>
      <c r="E134" t="s">
        <v>77</v>
      </c>
      <c r="F134">
        <v>6.8</v>
      </c>
      <c r="G134" t="s">
        <v>95</v>
      </c>
      <c r="H134">
        <v>6.8</v>
      </c>
      <c r="J134" s="2">
        <v>45839</v>
      </c>
      <c r="K134">
        <v>210.8</v>
      </c>
    </row>
    <row r="135" spans="1:11" x14ac:dyDescent="0.25">
      <c r="A135" t="s">
        <v>27</v>
      </c>
      <c r="B135" s="4">
        <v>45902</v>
      </c>
      <c r="C135">
        <v>24</v>
      </c>
      <c r="D135" t="s">
        <v>72</v>
      </c>
      <c r="E135" t="s">
        <v>77</v>
      </c>
      <c r="F135">
        <v>6.8</v>
      </c>
      <c r="G135" t="s">
        <v>95</v>
      </c>
      <c r="H135">
        <v>6.8</v>
      </c>
      <c r="J135" s="2">
        <v>45870</v>
      </c>
      <c r="K135">
        <v>210.8</v>
      </c>
    </row>
    <row r="136" spans="1:11" x14ac:dyDescent="0.25">
      <c r="A136" t="s">
        <v>27</v>
      </c>
      <c r="B136" s="4">
        <v>45902</v>
      </c>
      <c r="C136">
        <v>24</v>
      </c>
      <c r="D136" t="s">
        <v>72</v>
      </c>
      <c r="E136" t="s">
        <v>77</v>
      </c>
      <c r="F136">
        <v>6.8</v>
      </c>
      <c r="G136" t="s">
        <v>95</v>
      </c>
      <c r="H136">
        <v>6.8</v>
      </c>
      <c r="J136" s="2">
        <v>45901</v>
      </c>
      <c r="K136">
        <v>204</v>
      </c>
    </row>
    <row r="137" spans="1:11" x14ac:dyDescent="0.25">
      <c r="A137" t="s">
        <v>27</v>
      </c>
      <c r="B137" s="4">
        <v>45902</v>
      </c>
      <c r="C137">
        <v>24</v>
      </c>
      <c r="D137" t="s">
        <v>72</v>
      </c>
      <c r="E137" t="s">
        <v>77</v>
      </c>
      <c r="F137">
        <v>6.8</v>
      </c>
      <c r="G137" t="s">
        <v>95</v>
      </c>
      <c r="H137">
        <v>6.8</v>
      </c>
      <c r="J137" s="2">
        <v>45931</v>
      </c>
      <c r="K137">
        <v>210.8</v>
      </c>
    </row>
    <row r="138" spans="1:11" x14ac:dyDescent="0.25">
      <c r="A138" t="s">
        <v>27</v>
      </c>
      <c r="B138" s="4">
        <v>45902</v>
      </c>
      <c r="C138">
        <v>24</v>
      </c>
      <c r="D138" t="s">
        <v>72</v>
      </c>
      <c r="E138" t="s">
        <v>77</v>
      </c>
      <c r="F138">
        <v>6.8</v>
      </c>
      <c r="G138" t="s">
        <v>95</v>
      </c>
      <c r="H138">
        <v>6.8</v>
      </c>
      <c r="J138" s="2">
        <v>45962</v>
      </c>
      <c r="K138">
        <v>204</v>
      </c>
    </row>
    <row r="139" spans="1:11" x14ac:dyDescent="0.25">
      <c r="A139" t="s">
        <v>27</v>
      </c>
      <c r="B139" s="4">
        <v>45902</v>
      </c>
      <c r="C139">
        <v>24</v>
      </c>
      <c r="D139" t="s">
        <v>72</v>
      </c>
      <c r="E139" t="s">
        <v>77</v>
      </c>
      <c r="F139">
        <v>6.8</v>
      </c>
      <c r="G139" t="s">
        <v>95</v>
      </c>
      <c r="H139">
        <v>6.8</v>
      </c>
      <c r="J139" s="2">
        <v>45992</v>
      </c>
      <c r="K139">
        <v>210.8</v>
      </c>
    </row>
    <row r="140" spans="1:11" x14ac:dyDescent="0.25">
      <c r="A140" t="s">
        <v>28</v>
      </c>
      <c r="B140" s="4">
        <v>45902</v>
      </c>
      <c r="C140">
        <v>24</v>
      </c>
      <c r="D140" t="s">
        <v>72</v>
      </c>
      <c r="E140" t="s">
        <v>77</v>
      </c>
      <c r="F140">
        <v>6.73</v>
      </c>
      <c r="G140" t="s">
        <v>96</v>
      </c>
      <c r="H140">
        <v>6.73</v>
      </c>
      <c r="J140" s="2">
        <v>45839</v>
      </c>
      <c r="K140">
        <v>208.63</v>
      </c>
    </row>
    <row r="141" spans="1:11" x14ac:dyDescent="0.25">
      <c r="A141" t="s">
        <v>28</v>
      </c>
      <c r="B141" s="4">
        <v>45902</v>
      </c>
      <c r="C141">
        <v>24</v>
      </c>
      <c r="D141" t="s">
        <v>72</v>
      </c>
      <c r="E141" t="s">
        <v>77</v>
      </c>
      <c r="F141">
        <v>6.73</v>
      </c>
      <c r="G141" t="s">
        <v>96</v>
      </c>
      <c r="H141">
        <v>6.73</v>
      </c>
      <c r="J141" s="2">
        <v>45870</v>
      </c>
      <c r="K141">
        <v>208.63</v>
      </c>
    </row>
    <row r="142" spans="1:11" x14ac:dyDescent="0.25">
      <c r="A142" t="s">
        <v>28</v>
      </c>
      <c r="B142" s="4">
        <v>45902</v>
      </c>
      <c r="C142">
        <v>24</v>
      </c>
      <c r="D142" t="s">
        <v>72</v>
      </c>
      <c r="E142" t="s">
        <v>77</v>
      </c>
      <c r="F142">
        <v>6.73</v>
      </c>
      <c r="G142" t="s">
        <v>96</v>
      </c>
      <c r="H142">
        <v>6.73</v>
      </c>
      <c r="J142" s="2">
        <v>45901</v>
      </c>
      <c r="K142">
        <v>201.9</v>
      </c>
    </row>
    <row r="143" spans="1:11" x14ac:dyDescent="0.25">
      <c r="A143" t="s">
        <v>28</v>
      </c>
      <c r="B143" s="4">
        <v>45902</v>
      </c>
      <c r="C143">
        <v>24</v>
      </c>
      <c r="D143" t="s">
        <v>72</v>
      </c>
      <c r="E143" t="s">
        <v>77</v>
      </c>
      <c r="F143">
        <v>6.73</v>
      </c>
      <c r="G143" t="s">
        <v>96</v>
      </c>
      <c r="H143">
        <v>6.73</v>
      </c>
      <c r="J143" s="2">
        <v>45931</v>
      </c>
      <c r="K143">
        <v>208.63</v>
      </c>
    </row>
    <row r="144" spans="1:11" x14ac:dyDescent="0.25">
      <c r="A144" t="s">
        <v>28</v>
      </c>
      <c r="B144" s="4">
        <v>45902</v>
      </c>
      <c r="C144">
        <v>24</v>
      </c>
      <c r="D144" t="s">
        <v>72</v>
      </c>
      <c r="E144" t="s">
        <v>77</v>
      </c>
      <c r="F144">
        <v>6.73</v>
      </c>
      <c r="G144" t="s">
        <v>96</v>
      </c>
      <c r="H144">
        <v>6.73</v>
      </c>
      <c r="J144" s="2">
        <v>45962</v>
      </c>
      <c r="K144">
        <v>201.9</v>
      </c>
    </row>
    <row r="145" spans="1:11" x14ac:dyDescent="0.25">
      <c r="A145" t="s">
        <v>28</v>
      </c>
      <c r="B145" s="4">
        <v>45902</v>
      </c>
      <c r="C145">
        <v>24</v>
      </c>
      <c r="D145" t="s">
        <v>72</v>
      </c>
      <c r="E145" t="s">
        <v>77</v>
      </c>
      <c r="F145">
        <v>6.73</v>
      </c>
      <c r="G145" t="s">
        <v>96</v>
      </c>
      <c r="H145">
        <v>6.73</v>
      </c>
      <c r="J145" s="2">
        <v>45992</v>
      </c>
      <c r="K145">
        <v>208.63</v>
      </c>
    </row>
    <row r="146" spans="1:11" x14ac:dyDescent="0.25">
      <c r="A146" t="s">
        <v>29</v>
      </c>
      <c r="B146" s="4">
        <v>45902</v>
      </c>
      <c r="C146">
        <v>24</v>
      </c>
      <c r="D146" t="s">
        <v>74</v>
      </c>
      <c r="E146" t="s">
        <v>77</v>
      </c>
      <c r="F146">
        <v>6.58</v>
      </c>
      <c r="G146" t="s">
        <v>97</v>
      </c>
      <c r="H146">
        <v>6.58</v>
      </c>
      <c r="J146" s="2">
        <v>45839</v>
      </c>
      <c r="K146">
        <v>203.98</v>
      </c>
    </row>
    <row r="147" spans="1:11" x14ac:dyDescent="0.25">
      <c r="A147" t="s">
        <v>29</v>
      </c>
      <c r="B147" s="4">
        <v>45902</v>
      </c>
      <c r="C147">
        <v>24</v>
      </c>
      <c r="D147" t="s">
        <v>74</v>
      </c>
      <c r="E147" t="s">
        <v>77</v>
      </c>
      <c r="F147">
        <v>6.58</v>
      </c>
      <c r="G147" t="s">
        <v>97</v>
      </c>
      <c r="H147">
        <v>6.58</v>
      </c>
      <c r="J147" s="2">
        <v>45870</v>
      </c>
      <c r="K147">
        <v>203.98</v>
      </c>
    </row>
    <row r="148" spans="1:11" x14ac:dyDescent="0.25">
      <c r="A148" t="s">
        <v>29</v>
      </c>
      <c r="B148" s="4">
        <v>45902</v>
      </c>
      <c r="C148">
        <v>24</v>
      </c>
      <c r="D148" t="s">
        <v>74</v>
      </c>
      <c r="E148" t="s">
        <v>77</v>
      </c>
      <c r="F148">
        <v>6.58</v>
      </c>
      <c r="G148" t="s">
        <v>97</v>
      </c>
      <c r="H148">
        <v>6.58</v>
      </c>
      <c r="J148" s="2">
        <v>45901</v>
      </c>
      <c r="K148">
        <v>197.4</v>
      </c>
    </row>
    <row r="149" spans="1:11" x14ac:dyDescent="0.25">
      <c r="A149" t="s">
        <v>29</v>
      </c>
      <c r="B149" s="4">
        <v>45902</v>
      </c>
      <c r="C149">
        <v>24</v>
      </c>
      <c r="D149" t="s">
        <v>74</v>
      </c>
      <c r="E149" t="s">
        <v>77</v>
      </c>
      <c r="F149">
        <v>6.58</v>
      </c>
      <c r="G149" t="s">
        <v>97</v>
      </c>
      <c r="H149">
        <v>6.58</v>
      </c>
      <c r="J149" s="2">
        <v>45931</v>
      </c>
      <c r="K149">
        <v>203.98</v>
      </c>
    </row>
    <row r="150" spans="1:11" x14ac:dyDescent="0.25">
      <c r="A150" t="s">
        <v>29</v>
      </c>
      <c r="B150" s="4">
        <v>45902</v>
      </c>
      <c r="C150">
        <v>24</v>
      </c>
      <c r="D150" t="s">
        <v>74</v>
      </c>
      <c r="E150" t="s">
        <v>77</v>
      </c>
      <c r="F150">
        <v>6.58</v>
      </c>
      <c r="G150" t="s">
        <v>97</v>
      </c>
      <c r="H150">
        <v>6.58</v>
      </c>
      <c r="J150" s="2">
        <v>45962</v>
      </c>
      <c r="K150">
        <v>197.4</v>
      </c>
    </row>
    <row r="151" spans="1:11" x14ac:dyDescent="0.25">
      <c r="A151" t="s">
        <v>29</v>
      </c>
      <c r="B151" s="4">
        <v>45902</v>
      </c>
      <c r="C151">
        <v>24</v>
      </c>
      <c r="D151" t="s">
        <v>74</v>
      </c>
      <c r="E151" t="s">
        <v>77</v>
      </c>
      <c r="F151">
        <v>6.58</v>
      </c>
      <c r="G151" t="s">
        <v>97</v>
      </c>
      <c r="H151">
        <v>6.58</v>
      </c>
      <c r="J151" s="2">
        <v>45992</v>
      </c>
      <c r="K151">
        <v>203.98</v>
      </c>
    </row>
    <row r="152" spans="1:11" x14ac:dyDescent="0.25">
      <c r="A152" t="s">
        <v>31</v>
      </c>
      <c r="B152" s="4">
        <v>45902</v>
      </c>
      <c r="C152">
        <v>24</v>
      </c>
      <c r="D152" t="s">
        <v>74</v>
      </c>
      <c r="E152" t="s">
        <v>77</v>
      </c>
      <c r="F152">
        <v>6.51</v>
      </c>
      <c r="G152" t="s">
        <v>99</v>
      </c>
      <c r="H152">
        <v>6.51</v>
      </c>
      <c r="J152" s="2">
        <v>45839</v>
      </c>
      <c r="K152">
        <v>201.81</v>
      </c>
    </row>
    <row r="153" spans="1:11" x14ac:dyDescent="0.25">
      <c r="A153" t="s">
        <v>31</v>
      </c>
      <c r="B153" s="4">
        <v>45902</v>
      </c>
      <c r="C153">
        <v>24</v>
      </c>
      <c r="D153" t="s">
        <v>74</v>
      </c>
      <c r="E153" t="s">
        <v>77</v>
      </c>
      <c r="F153">
        <v>6.51</v>
      </c>
      <c r="G153" t="s">
        <v>99</v>
      </c>
      <c r="H153">
        <v>6.51</v>
      </c>
      <c r="J153" s="2">
        <v>45870</v>
      </c>
      <c r="K153">
        <v>201.81</v>
      </c>
    </row>
    <row r="154" spans="1:11" x14ac:dyDescent="0.25">
      <c r="A154" t="s">
        <v>31</v>
      </c>
      <c r="B154" s="4">
        <v>45902</v>
      </c>
      <c r="C154">
        <v>24</v>
      </c>
      <c r="D154" t="s">
        <v>74</v>
      </c>
      <c r="E154" t="s">
        <v>77</v>
      </c>
      <c r="F154">
        <v>6.51</v>
      </c>
      <c r="G154" t="s">
        <v>99</v>
      </c>
      <c r="H154">
        <v>6.51</v>
      </c>
      <c r="J154" s="2">
        <v>45901</v>
      </c>
      <c r="K154">
        <v>195.3</v>
      </c>
    </row>
    <row r="155" spans="1:11" x14ac:dyDescent="0.25">
      <c r="A155" t="s">
        <v>31</v>
      </c>
      <c r="B155" s="4">
        <v>45902</v>
      </c>
      <c r="C155">
        <v>24</v>
      </c>
      <c r="D155" t="s">
        <v>74</v>
      </c>
      <c r="E155" t="s">
        <v>77</v>
      </c>
      <c r="F155">
        <v>6.51</v>
      </c>
      <c r="G155" t="s">
        <v>99</v>
      </c>
      <c r="H155">
        <v>6.51</v>
      </c>
      <c r="J155" s="2">
        <v>45931</v>
      </c>
      <c r="K155">
        <v>201.81</v>
      </c>
    </row>
    <row r="156" spans="1:11" x14ac:dyDescent="0.25">
      <c r="A156" t="s">
        <v>31</v>
      </c>
      <c r="B156" s="4">
        <v>45902</v>
      </c>
      <c r="C156">
        <v>24</v>
      </c>
      <c r="D156" t="s">
        <v>74</v>
      </c>
      <c r="E156" t="s">
        <v>77</v>
      </c>
      <c r="F156">
        <v>6.51</v>
      </c>
      <c r="G156" t="s">
        <v>99</v>
      </c>
      <c r="H156">
        <v>6.51</v>
      </c>
      <c r="J156" s="2">
        <v>45962</v>
      </c>
      <c r="K156">
        <v>195.3</v>
      </c>
    </row>
    <row r="157" spans="1:11" x14ac:dyDescent="0.25">
      <c r="A157" t="s">
        <v>31</v>
      </c>
      <c r="B157" s="4">
        <v>45902</v>
      </c>
      <c r="C157">
        <v>24</v>
      </c>
      <c r="D157" t="s">
        <v>74</v>
      </c>
      <c r="E157" t="s">
        <v>77</v>
      </c>
      <c r="F157">
        <v>6.51</v>
      </c>
      <c r="G157" t="s">
        <v>99</v>
      </c>
      <c r="H157">
        <v>6.51</v>
      </c>
      <c r="J157" s="2">
        <v>45992</v>
      </c>
      <c r="K157">
        <v>201.81</v>
      </c>
    </row>
    <row r="158" spans="1:11" x14ac:dyDescent="0.25">
      <c r="A158" t="s">
        <v>33</v>
      </c>
      <c r="B158" s="4">
        <v>45902</v>
      </c>
      <c r="C158">
        <v>24</v>
      </c>
      <c r="D158" t="s">
        <v>72</v>
      </c>
      <c r="E158" t="s">
        <v>77</v>
      </c>
      <c r="F158">
        <v>5.52</v>
      </c>
      <c r="G158" t="s">
        <v>101</v>
      </c>
      <c r="H158">
        <v>5.52</v>
      </c>
      <c r="J158" s="2">
        <v>45839</v>
      </c>
      <c r="K158">
        <v>171.12</v>
      </c>
    </row>
    <row r="159" spans="1:11" x14ac:dyDescent="0.25">
      <c r="A159" t="s">
        <v>33</v>
      </c>
      <c r="B159" s="4">
        <v>45902</v>
      </c>
      <c r="C159">
        <v>24</v>
      </c>
      <c r="D159" t="s">
        <v>72</v>
      </c>
      <c r="E159" t="s">
        <v>77</v>
      </c>
      <c r="F159">
        <v>5.52</v>
      </c>
      <c r="G159" t="s">
        <v>101</v>
      </c>
      <c r="H159">
        <v>5.52</v>
      </c>
      <c r="J159" s="2">
        <v>45870</v>
      </c>
      <c r="K159">
        <v>171.12</v>
      </c>
    </row>
    <row r="160" spans="1:11" x14ac:dyDescent="0.25">
      <c r="A160" t="s">
        <v>33</v>
      </c>
      <c r="B160" s="4">
        <v>45902</v>
      </c>
      <c r="C160">
        <v>24</v>
      </c>
      <c r="D160" t="s">
        <v>72</v>
      </c>
      <c r="E160" t="s">
        <v>77</v>
      </c>
      <c r="F160">
        <v>5.52</v>
      </c>
      <c r="G160" t="s">
        <v>101</v>
      </c>
      <c r="H160">
        <v>5.52</v>
      </c>
      <c r="J160" s="2">
        <v>45901</v>
      </c>
      <c r="K160">
        <v>165.6</v>
      </c>
    </row>
    <row r="161" spans="1:11" x14ac:dyDescent="0.25">
      <c r="A161" t="s">
        <v>33</v>
      </c>
      <c r="B161" s="4">
        <v>45902</v>
      </c>
      <c r="C161">
        <v>24</v>
      </c>
      <c r="D161" t="s">
        <v>72</v>
      </c>
      <c r="E161" t="s">
        <v>77</v>
      </c>
      <c r="F161">
        <v>5.52</v>
      </c>
      <c r="G161" t="s">
        <v>101</v>
      </c>
      <c r="H161">
        <v>5.52</v>
      </c>
      <c r="J161" s="2">
        <v>45931</v>
      </c>
      <c r="K161">
        <v>171.12</v>
      </c>
    </row>
    <row r="162" spans="1:11" x14ac:dyDescent="0.25">
      <c r="A162" t="s">
        <v>33</v>
      </c>
      <c r="B162" s="4">
        <v>45902</v>
      </c>
      <c r="C162">
        <v>24</v>
      </c>
      <c r="D162" t="s">
        <v>72</v>
      </c>
      <c r="E162" t="s">
        <v>77</v>
      </c>
      <c r="F162">
        <v>5.52</v>
      </c>
      <c r="G162" t="s">
        <v>101</v>
      </c>
      <c r="H162">
        <v>5.52</v>
      </c>
      <c r="J162" s="2">
        <v>45962</v>
      </c>
      <c r="K162">
        <v>165.6</v>
      </c>
    </row>
    <row r="163" spans="1:11" x14ac:dyDescent="0.25">
      <c r="A163" t="s">
        <v>33</v>
      </c>
      <c r="B163" s="4">
        <v>45902</v>
      </c>
      <c r="C163">
        <v>24</v>
      </c>
      <c r="D163" t="s">
        <v>72</v>
      </c>
      <c r="E163" t="s">
        <v>77</v>
      </c>
      <c r="F163">
        <v>5.52</v>
      </c>
      <c r="G163" t="s">
        <v>101</v>
      </c>
      <c r="H163">
        <v>5.52</v>
      </c>
      <c r="J163" s="2">
        <v>45992</v>
      </c>
      <c r="K163">
        <v>171.12</v>
      </c>
    </row>
    <row r="164" spans="1:11" x14ac:dyDescent="0.25">
      <c r="A164" t="s">
        <v>34</v>
      </c>
      <c r="B164" s="4">
        <v>45902</v>
      </c>
      <c r="C164">
        <v>24</v>
      </c>
      <c r="D164" t="s">
        <v>73</v>
      </c>
      <c r="E164" t="s">
        <v>78</v>
      </c>
      <c r="F164">
        <v>5.3</v>
      </c>
      <c r="G164" t="s">
        <v>102</v>
      </c>
      <c r="H164">
        <v>5.3</v>
      </c>
      <c r="J164" s="2">
        <v>45839</v>
      </c>
      <c r="K164">
        <v>164.3</v>
      </c>
    </row>
    <row r="165" spans="1:11" x14ac:dyDescent="0.25">
      <c r="A165" t="s">
        <v>34</v>
      </c>
      <c r="B165" s="4">
        <v>45902</v>
      </c>
      <c r="C165">
        <v>24</v>
      </c>
      <c r="D165" t="s">
        <v>73</v>
      </c>
      <c r="E165" t="s">
        <v>78</v>
      </c>
      <c r="F165">
        <v>5.3</v>
      </c>
      <c r="G165" t="s">
        <v>102</v>
      </c>
      <c r="H165">
        <v>5.3</v>
      </c>
      <c r="J165" s="2">
        <v>45870</v>
      </c>
      <c r="K165">
        <v>164.3</v>
      </c>
    </row>
    <row r="166" spans="1:11" x14ac:dyDescent="0.25">
      <c r="A166" t="s">
        <v>34</v>
      </c>
      <c r="B166" s="4">
        <v>45902</v>
      </c>
      <c r="C166">
        <v>24</v>
      </c>
      <c r="D166" t="s">
        <v>73</v>
      </c>
      <c r="E166" t="s">
        <v>78</v>
      </c>
      <c r="F166">
        <v>5.3</v>
      </c>
      <c r="G166" t="s">
        <v>102</v>
      </c>
      <c r="H166">
        <v>5.3</v>
      </c>
      <c r="J166" s="2">
        <v>45901</v>
      </c>
      <c r="K166">
        <v>159</v>
      </c>
    </row>
    <row r="167" spans="1:11" x14ac:dyDescent="0.25">
      <c r="A167" t="s">
        <v>34</v>
      </c>
      <c r="B167" s="4">
        <v>45902</v>
      </c>
      <c r="C167">
        <v>24</v>
      </c>
      <c r="D167" t="s">
        <v>73</v>
      </c>
      <c r="E167" t="s">
        <v>78</v>
      </c>
      <c r="F167">
        <v>5.3</v>
      </c>
      <c r="G167" t="s">
        <v>102</v>
      </c>
      <c r="H167">
        <v>5.3</v>
      </c>
      <c r="J167" s="2">
        <v>45931</v>
      </c>
      <c r="K167">
        <v>164.3</v>
      </c>
    </row>
    <row r="168" spans="1:11" x14ac:dyDescent="0.25">
      <c r="A168" t="s">
        <v>34</v>
      </c>
      <c r="B168" s="4">
        <v>45902</v>
      </c>
      <c r="C168">
        <v>24</v>
      </c>
      <c r="D168" t="s">
        <v>73</v>
      </c>
      <c r="E168" t="s">
        <v>78</v>
      </c>
      <c r="F168">
        <v>5.3</v>
      </c>
      <c r="G168" t="s">
        <v>102</v>
      </c>
      <c r="H168">
        <v>5.3</v>
      </c>
      <c r="J168" s="2">
        <v>45962</v>
      </c>
      <c r="K168">
        <v>159</v>
      </c>
    </row>
    <row r="169" spans="1:11" x14ac:dyDescent="0.25">
      <c r="A169" t="s">
        <v>34</v>
      </c>
      <c r="B169" s="4">
        <v>45902</v>
      </c>
      <c r="C169">
        <v>24</v>
      </c>
      <c r="D169" t="s">
        <v>73</v>
      </c>
      <c r="E169" t="s">
        <v>78</v>
      </c>
      <c r="F169">
        <v>5.3</v>
      </c>
      <c r="G169" t="s">
        <v>102</v>
      </c>
      <c r="H169">
        <v>5.3</v>
      </c>
      <c r="J169" s="2">
        <v>45992</v>
      </c>
      <c r="K169">
        <v>164.3</v>
      </c>
    </row>
    <row r="170" spans="1:11" x14ac:dyDescent="0.25">
      <c r="A170" t="s">
        <v>35</v>
      </c>
      <c r="B170" s="4">
        <v>45902</v>
      </c>
      <c r="C170">
        <v>24</v>
      </c>
      <c r="D170" t="s">
        <v>72</v>
      </c>
      <c r="E170" t="s">
        <v>77</v>
      </c>
      <c r="F170">
        <v>5.09</v>
      </c>
      <c r="G170" t="s">
        <v>103</v>
      </c>
      <c r="H170">
        <v>5.09</v>
      </c>
      <c r="J170" s="2">
        <v>45839</v>
      </c>
      <c r="K170">
        <v>157.79</v>
      </c>
    </row>
    <row r="171" spans="1:11" x14ac:dyDescent="0.25">
      <c r="A171" t="s">
        <v>35</v>
      </c>
      <c r="B171" s="4">
        <v>45902</v>
      </c>
      <c r="C171">
        <v>24</v>
      </c>
      <c r="D171" t="s">
        <v>72</v>
      </c>
      <c r="E171" t="s">
        <v>77</v>
      </c>
      <c r="F171">
        <v>5.09</v>
      </c>
      <c r="G171" t="s">
        <v>103</v>
      </c>
      <c r="H171">
        <v>5.09</v>
      </c>
      <c r="J171" s="2">
        <v>45870</v>
      </c>
      <c r="K171">
        <v>157.79</v>
      </c>
    </row>
    <row r="172" spans="1:11" x14ac:dyDescent="0.25">
      <c r="A172" t="s">
        <v>35</v>
      </c>
      <c r="B172" s="4">
        <v>45902</v>
      </c>
      <c r="C172">
        <v>24</v>
      </c>
      <c r="D172" t="s">
        <v>72</v>
      </c>
      <c r="E172" t="s">
        <v>77</v>
      </c>
      <c r="F172">
        <v>5.09</v>
      </c>
      <c r="G172" t="s">
        <v>103</v>
      </c>
      <c r="H172">
        <v>5.09</v>
      </c>
      <c r="J172" s="2">
        <v>45901</v>
      </c>
      <c r="K172">
        <v>152.69999999999999</v>
      </c>
    </row>
    <row r="173" spans="1:11" x14ac:dyDescent="0.25">
      <c r="A173" t="s">
        <v>35</v>
      </c>
      <c r="B173" s="4">
        <v>45902</v>
      </c>
      <c r="C173">
        <v>24</v>
      </c>
      <c r="D173" t="s">
        <v>72</v>
      </c>
      <c r="E173" t="s">
        <v>77</v>
      </c>
      <c r="F173">
        <v>5.09</v>
      </c>
      <c r="G173" t="s">
        <v>103</v>
      </c>
      <c r="H173">
        <v>5.09</v>
      </c>
      <c r="J173" s="2">
        <v>45931</v>
      </c>
      <c r="K173">
        <v>157.79</v>
      </c>
    </row>
    <row r="174" spans="1:11" x14ac:dyDescent="0.25">
      <c r="A174" t="s">
        <v>35</v>
      </c>
      <c r="B174" s="4">
        <v>45902</v>
      </c>
      <c r="C174">
        <v>24</v>
      </c>
      <c r="D174" t="s">
        <v>72</v>
      </c>
      <c r="E174" t="s">
        <v>77</v>
      </c>
      <c r="F174">
        <v>5.09</v>
      </c>
      <c r="G174" t="s">
        <v>103</v>
      </c>
      <c r="H174">
        <v>5.09</v>
      </c>
      <c r="J174" s="2">
        <v>45962</v>
      </c>
      <c r="K174">
        <v>152.69999999999999</v>
      </c>
    </row>
    <row r="175" spans="1:11" x14ac:dyDescent="0.25">
      <c r="A175" t="s">
        <v>35</v>
      </c>
      <c r="B175" s="4">
        <v>45902</v>
      </c>
      <c r="C175">
        <v>24</v>
      </c>
      <c r="D175" t="s">
        <v>72</v>
      </c>
      <c r="E175" t="s">
        <v>77</v>
      </c>
      <c r="F175">
        <v>5.09</v>
      </c>
      <c r="G175" t="s">
        <v>103</v>
      </c>
      <c r="H175">
        <v>5.09</v>
      </c>
      <c r="J175" s="2">
        <v>45992</v>
      </c>
      <c r="K175">
        <v>157.79</v>
      </c>
    </row>
    <row r="176" spans="1:11" x14ac:dyDescent="0.25">
      <c r="A176" t="s">
        <v>36</v>
      </c>
      <c r="B176" s="4">
        <v>45902</v>
      </c>
      <c r="C176">
        <v>24</v>
      </c>
      <c r="D176" t="s">
        <v>72</v>
      </c>
      <c r="E176" t="s">
        <v>77</v>
      </c>
      <c r="F176">
        <v>4.97</v>
      </c>
      <c r="G176" t="s">
        <v>104</v>
      </c>
      <c r="H176">
        <v>4.97</v>
      </c>
      <c r="J176" s="2">
        <v>45839</v>
      </c>
      <c r="K176">
        <v>154.07</v>
      </c>
    </row>
    <row r="177" spans="1:11" x14ac:dyDescent="0.25">
      <c r="A177" t="s">
        <v>36</v>
      </c>
      <c r="B177" s="4">
        <v>45902</v>
      </c>
      <c r="C177">
        <v>24</v>
      </c>
      <c r="D177" t="s">
        <v>72</v>
      </c>
      <c r="E177" t="s">
        <v>77</v>
      </c>
      <c r="F177">
        <v>4.97</v>
      </c>
      <c r="G177" t="s">
        <v>104</v>
      </c>
      <c r="H177">
        <v>4.97</v>
      </c>
      <c r="J177" s="2">
        <v>45870</v>
      </c>
      <c r="K177">
        <v>154.07</v>
      </c>
    </row>
    <row r="178" spans="1:11" x14ac:dyDescent="0.25">
      <c r="A178" t="s">
        <v>36</v>
      </c>
      <c r="B178" s="4">
        <v>45902</v>
      </c>
      <c r="C178">
        <v>24</v>
      </c>
      <c r="D178" t="s">
        <v>72</v>
      </c>
      <c r="E178" t="s">
        <v>77</v>
      </c>
      <c r="F178">
        <v>4.97</v>
      </c>
      <c r="G178" t="s">
        <v>104</v>
      </c>
      <c r="H178">
        <v>4.97</v>
      </c>
      <c r="J178" s="2">
        <v>45901</v>
      </c>
      <c r="K178">
        <v>149.1</v>
      </c>
    </row>
    <row r="179" spans="1:11" x14ac:dyDescent="0.25">
      <c r="A179" t="s">
        <v>36</v>
      </c>
      <c r="B179" s="4">
        <v>45902</v>
      </c>
      <c r="C179">
        <v>24</v>
      </c>
      <c r="D179" t="s">
        <v>72</v>
      </c>
      <c r="E179" t="s">
        <v>77</v>
      </c>
      <c r="F179">
        <v>4.97</v>
      </c>
      <c r="G179" t="s">
        <v>104</v>
      </c>
      <c r="H179">
        <v>4.97</v>
      </c>
      <c r="J179" s="2">
        <v>45931</v>
      </c>
      <c r="K179">
        <v>154.07</v>
      </c>
    </row>
    <row r="180" spans="1:11" x14ac:dyDescent="0.25">
      <c r="A180" t="s">
        <v>36</v>
      </c>
      <c r="B180" s="4">
        <v>45902</v>
      </c>
      <c r="C180">
        <v>24</v>
      </c>
      <c r="D180" t="s">
        <v>72</v>
      </c>
      <c r="E180" t="s">
        <v>77</v>
      </c>
      <c r="F180">
        <v>4.97</v>
      </c>
      <c r="G180" t="s">
        <v>104</v>
      </c>
      <c r="H180">
        <v>4.97</v>
      </c>
      <c r="J180" s="2">
        <v>45962</v>
      </c>
      <c r="K180">
        <v>149.1</v>
      </c>
    </row>
    <row r="181" spans="1:11" x14ac:dyDescent="0.25">
      <c r="A181" t="s">
        <v>36</v>
      </c>
      <c r="B181" s="4">
        <v>45902</v>
      </c>
      <c r="C181">
        <v>24</v>
      </c>
      <c r="D181" t="s">
        <v>72</v>
      </c>
      <c r="E181" t="s">
        <v>77</v>
      </c>
      <c r="F181">
        <v>4.97</v>
      </c>
      <c r="G181" t="s">
        <v>104</v>
      </c>
      <c r="H181">
        <v>4.97</v>
      </c>
      <c r="J181" s="2">
        <v>45992</v>
      </c>
      <c r="K181">
        <v>154.07</v>
      </c>
    </row>
    <row r="182" spans="1:11" x14ac:dyDescent="0.25">
      <c r="A182" t="s">
        <v>37</v>
      </c>
      <c r="B182" s="4">
        <v>45902</v>
      </c>
      <c r="C182">
        <v>24</v>
      </c>
      <c r="D182" t="s">
        <v>72</v>
      </c>
      <c r="E182" t="s">
        <v>77</v>
      </c>
      <c r="F182">
        <v>4.8899999999999997</v>
      </c>
      <c r="G182" t="s">
        <v>105</v>
      </c>
      <c r="H182">
        <v>4.8899999999999997</v>
      </c>
      <c r="J182" s="2">
        <v>45839</v>
      </c>
      <c r="K182">
        <v>151.59</v>
      </c>
    </row>
    <row r="183" spans="1:11" x14ac:dyDescent="0.25">
      <c r="A183" t="s">
        <v>37</v>
      </c>
      <c r="B183" s="4">
        <v>45902</v>
      </c>
      <c r="C183">
        <v>24</v>
      </c>
      <c r="D183" t="s">
        <v>72</v>
      </c>
      <c r="E183" t="s">
        <v>77</v>
      </c>
      <c r="F183">
        <v>4.8899999999999997</v>
      </c>
      <c r="G183" t="s">
        <v>105</v>
      </c>
      <c r="H183">
        <v>4.8899999999999997</v>
      </c>
      <c r="J183" s="2">
        <v>45870</v>
      </c>
      <c r="K183">
        <v>151.59</v>
      </c>
    </row>
    <row r="184" spans="1:11" x14ac:dyDescent="0.25">
      <c r="A184" t="s">
        <v>37</v>
      </c>
      <c r="B184" s="4">
        <v>45902</v>
      </c>
      <c r="C184">
        <v>24</v>
      </c>
      <c r="D184" t="s">
        <v>72</v>
      </c>
      <c r="E184" t="s">
        <v>77</v>
      </c>
      <c r="F184">
        <v>4.8899999999999997</v>
      </c>
      <c r="G184" t="s">
        <v>105</v>
      </c>
      <c r="H184">
        <v>4.8899999999999997</v>
      </c>
      <c r="J184" s="2">
        <v>45901</v>
      </c>
      <c r="K184">
        <v>146.69999999999999</v>
      </c>
    </row>
    <row r="185" spans="1:11" x14ac:dyDescent="0.25">
      <c r="A185" t="s">
        <v>37</v>
      </c>
      <c r="B185" s="4">
        <v>45902</v>
      </c>
      <c r="C185">
        <v>24</v>
      </c>
      <c r="D185" t="s">
        <v>72</v>
      </c>
      <c r="E185" t="s">
        <v>77</v>
      </c>
      <c r="F185">
        <v>4.8899999999999997</v>
      </c>
      <c r="G185" t="s">
        <v>105</v>
      </c>
      <c r="H185">
        <v>4.8899999999999997</v>
      </c>
      <c r="J185" s="2">
        <v>45931</v>
      </c>
      <c r="K185">
        <v>151.59</v>
      </c>
    </row>
    <row r="186" spans="1:11" x14ac:dyDescent="0.25">
      <c r="A186" t="s">
        <v>37</v>
      </c>
      <c r="B186" s="4">
        <v>45902</v>
      </c>
      <c r="C186">
        <v>24</v>
      </c>
      <c r="D186" t="s">
        <v>72</v>
      </c>
      <c r="E186" t="s">
        <v>77</v>
      </c>
      <c r="F186">
        <v>4.8899999999999997</v>
      </c>
      <c r="G186" t="s">
        <v>105</v>
      </c>
      <c r="H186">
        <v>4.8899999999999997</v>
      </c>
      <c r="J186" s="2">
        <v>45962</v>
      </c>
      <c r="K186">
        <v>146.69999999999999</v>
      </c>
    </row>
    <row r="187" spans="1:11" x14ac:dyDescent="0.25">
      <c r="A187" t="s">
        <v>37</v>
      </c>
      <c r="B187" s="4">
        <v>45902</v>
      </c>
      <c r="C187">
        <v>24</v>
      </c>
      <c r="D187" t="s">
        <v>72</v>
      </c>
      <c r="E187" t="s">
        <v>77</v>
      </c>
      <c r="F187">
        <v>4.8899999999999997</v>
      </c>
      <c r="G187" t="s">
        <v>105</v>
      </c>
      <c r="H187">
        <v>4.8899999999999997</v>
      </c>
      <c r="J187" s="2">
        <v>45992</v>
      </c>
      <c r="K187">
        <v>151.59</v>
      </c>
    </row>
    <row r="188" spans="1:11" x14ac:dyDescent="0.25">
      <c r="A188" t="s">
        <v>38</v>
      </c>
      <c r="B188" s="4">
        <v>45902</v>
      </c>
      <c r="C188">
        <v>24</v>
      </c>
      <c r="D188" t="s">
        <v>72</v>
      </c>
      <c r="E188" t="s">
        <v>77</v>
      </c>
      <c r="F188">
        <v>4.71</v>
      </c>
      <c r="G188" t="s">
        <v>106</v>
      </c>
      <c r="H188">
        <v>4.71</v>
      </c>
      <c r="J188" s="2">
        <v>45839</v>
      </c>
      <c r="K188">
        <v>146.01</v>
      </c>
    </row>
    <row r="189" spans="1:11" x14ac:dyDescent="0.25">
      <c r="A189" t="s">
        <v>38</v>
      </c>
      <c r="B189" s="4">
        <v>45902</v>
      </c>
      <c r="C189">
        <v>24</v>
      </c>
      <c r="D189" t="s">
        <v>72</v>
      </c>
      <c r="E189" t="s">
        <v>77</v>
      </c>
      <c r="F189">
        <v>4.71</v>
      </c>
      <c r="G189" t="s">
        <v>106</v>
      </c>
      <c r="H189">
        <v>4.71</v>
      </c>
      <c r="J189" s="2">
        <v>45870</v>
      </c>
      <c r="K189">
        <v>146.01</v>
      </c>
    </row>
    <row r="190" spans="1:11" x14ac:dyDescent="0.25">
      <c r="A190" t="s">
        <v>38</v>
      </c>
      <c r="B190" s="4">
        <v>45902</v>
      </c>
      <c r="C190">
        <v>24</v>
      </c>
      <c r="D190" t="s">
        <v>72</v>
      </c>
      <c r="E190" t="s">
        <v>77</v>
      </c>
      <c r="F190">
        <v>4.71</v>
      </c>
      <c r="G190" t="s">
        <v>106</v>
      </c>
      <c r="H190">
        <v>4.71</v>
      </c>
      <c r="J190" s="2">
        <v>45901</v>
      </c>
      <c r="K190">
        <v>141.30000000000001</v>
      </c>
    </row>
    <row r="191" spans="1:11" x14ac:dyDescent="0.25">
      <c r="A191" t="s">
        <v>38</v>
      </c>
      <c r="B191" s="4">
        <v>45902</v>
      </c>
      <c r="C191">
        <v>24</v>
      </c>
      <c r="D191" t="s">
        <v>72</v>
      </c>
      <c r="E191" t="s">
        <v>77</v>
      </c>
      <c r="F191">
        <v>4.71</v>
      </c>
      <c r="G191" t="s">
        <v>106</v>
      </c>
      <c r="H191">
        <v>4.71</v>
      </c>
      <c r="J191" s="2">
        <v>45931</v>
      </c>
      <c r="K191">
        <v>146.01</v>
      </c>
    </row>
    <row r="192" spans="1:11" x14ac:dyDescent="0.25">
      <c r="A192" t="s">
        <v>38</v>
      </c>
      <c r="B192" s="4">
        <v>45902</v>
      </c>
      <c r="C192">
        <v>24</v>
      </c>
      <c r="D192" t="s">
        <v>72</v>
      </c>
      <c r="E192" t="s">
        <v>77</v>
      </c>
      <c r="F192">
        <v>4.71</v>
      </c>
      <c r="G192" t="s">
        <v>106</v>
      </c>
      <c r="H192">
        <v>4.71</v>
      </c>
      <c r="J192" s="2">
        <v>45962</v>
      </c>
      <c r="K192">
        <v>141.30000000000001</v>
      </c>
    </row>
    <row r="193" spans="1:11" x14ac:dyDescent="0.25">
      <c r="A193" t="s">
        <v>38</v>
      </c>
      <c r="B193" s="4">
        <v>45902</v>
      </c>
      <c r="C193">
        <v>24</v>
      </c>
      <c r="D193" t="s">
        <v>72</v>
      </c>
      <c r="E193" t="s">
        <v>77</v>
      </c>
      <c r="F193">
        <v>4.71</v>
      </c>
      <c r="G193" t="s">
        <v>106</v>
      </c>
      <c r="H193">
        <v>4.71</v>
      </c>
      <c r="J193" s="2">
        <v>45992</v>
      </c>
      <c r="K193">
        <v>146.01</v>
      </c>
    </row>
    <row r="194" spans="1:11" x14ac:dyDescent="0.25">
      <c r="A194" t="s">
        <v>39</v>
      </c>
      <c r="B194" s="4">
        <v>45902</v>
      </c>
      <c r="C194">
        <v>24</v>
      </c>
      <c r="D194" t="s">
        <v>72</v>
      </c>
      <c r="E194" t="s">
        <v>77</v>
      </c>
      <c r="F194">
        <v>4.6399999999999997</v>
      </c>
      <c r="G194" t="s">
        <v>107</v>
      </c>
      <c r="H194">
        <v>4.6399999999999997</v>
      </c>
      <c r="J194" s="2">
        <v>45839</v>
      </c>
      <c r="K194">
        <v>143.84</v>
      </c>
    </row>
    <row r="195" spans="1:11" x14ac:dyDescent="0.25">
      <c r="A195" t="s">
        <v>39</v>
      </c>
      <c r="B195" s="4">
        <v>45902</v>
      </c>
      <c r="C195">
        <v>24</v>
      </c>
      <c r="D195" t="s">
        <v>72</v>
      </c>
      <c r="E195" t="s">
        <v>77</v>
      </c>
      <c r="F195">
        <v>4.6399999999999997</v>
      </c>
      <c r="G195" t="s">
        <v>107</v>
      </c>
      <c r="H195">
        <v>4.6399999999999997</v>
      </c>
      <c r="J195" s="2">
        <v>45870</v>
      </c>
      <c r="K195">
        <v>143.84</v>
      </c>
    </row>
    <row r="196" spans="1:11" x14ac:dyDescent="0.25">
      <c r="A196" t="s">
        <v>39</v>
      </c>
      <c r="B196" s="4">
        <v>45902</v>
      </c>
      <c r="C196">
        <v>24</v>
      </c>
      <c r="D196" t="s">
        <v>72</v>
      </c>
      <c r="E196" t="s">
        <v>77</v>
      </c>
      <c r="F196">
        <v>4.6399999999999997</v>
      </c>
      <c r="G196" t="s">
        <v>107</v>
      </c>
      <c r="H196">
        <v>4.6399999999999997</v>
      </c>
      <c r="J196" s="2">
        <v>45901</v>
      </c>
      <c r="K196">
        <v>139.19999999999999</v>
      </c>
    </row>
    <row r="197" spans="1:11" x14ac:dyDescent="0.25">
      <c r="A197" t="s">
        <v>39</v>
      </c>
      <c r="B197" s="4">
        <v>45902</v>
      </c>
      <c r="C197">
        <v>24</v>
      </c>
      <c r="D197" t="s">
        <v>72</v>
      </c>
      <c r="E197" t="s">
        <v>77</v>
      </c>
      <c r="F197">
        <v>4.6399999999999997</v>
      </c>
      <c r="G197" t="s">
        <v>107</v>
      </c>
      <c r="H197">
        <v>4.6399999999999997</v>
      </c>
      <c r="J197" s="2">
        <v>45931</v>
      </c>
      <c r="K197">
        <v>143.84</v>
      </c>
    </row>
    <row r="198" spans="1:11" x14ac:dyDescent="0.25">
      <c r="A198" t="s">
        <v>39</v>
      </c>
      <c r="B198" s="4">
        <v>45902</v>
      </c>
      <c r="C198">
        <v>24</v>
      </c>
      <c r="D198" t="s">
        <v>72</v>
      </c>
      <c r="E198" t="s">
        <v>77</v>
      </c>
      <c r="F198">
        <v>4.6399999999999997</v>
      </c>
      <c r="G198" t="s">
        <v>107</v>
      </c>
      <c r="H198">
        <v>4.6399999999999997</v>
      </c>
      <c r="J198" s="2">
        <v>45962</v>
      </c>
      <c r="K198">
        <v>139.19999999999999</v>
      </c>
    </row>
    <row r="199" spans="1:11" x14ac:dyDescent="0.25">
      <c r="A199" t="s">
        <v>39</v>
      </c>
      <c r="B199" s="4">
        <v>45902</v>
      </c>
      <c r="C199">
        <v>24</v>
      </c>
      <c r="D199" t="s">
        <v>72</v>
      </c>
      <c r="E199" t="s">
        <v>77</v>
      </c>
      <c r="F199">
        <v>4.6399999999999997</v>
      </c>
      <c r="G199" t="s">
        <v>107</v>
      </c>
      <c r="H199">
        <v>4.6399999999999997</v>
      </c>
      <c r="J199" s="2">
        <v>45992</v>
      </c>
      <c r="K199">
        <v>143.84</v>
      </c>
    </row>
    <row r="200" spans="1:11" x14ac:dyDescent="0.25">
      <c r="A200" t="s">
        <v>40</v>
      </c>
      <c r="B200" s="4">
        <v>45902</v>
      </c>
      <c r="C200">
        <v>24</v>
      </c>
      <c r="D200" t="s">
        <v>76</v>
      </c>
      <c r="E200" t="s">
        <v>78</v>
      </c>
      <c r="F200">
        <v>4.54</v>
      </c>
      <c r="G200" t="s">
        <v>108</v>
      </c>
      <c r="H200">
        <v>4.54</v>
      </c>
      <c r="J200" s="2">
        <v>45839</v>
      </c>
      <c r="K200">
        <v>140.74</v>
      </c>
    </row>
    <row r="201" spans="1:11" x14ac:dyDescent="0.25">
      <c r="A201" t="s">
        <v>40</v>
      </c>
      <c r="B201" s="4">
        <v>45902</v>
      </c>
      <c r="C201">
        <v>24</v>
      </c>
      <c r="D201" t="s">
        <v>76</v>
      </c>
      <c r="E201" t="s">
        <v>78</v>
      </c>
      <c r="F201">
        <v>4.54</v>
      </c>
      <c r="G201" t="s">
        <v>108</v>
      </c>
      <c r="H201">
        <v>4.54</v>
      </c>
      <c r="J201" s="2">
        <v>45870</v>
      </c>
      <c r="K201">
        <v>140.74</v>
      </c>
    </row>
    <row r="202" spans="1:11" x14ac:dyDescent="0.25">
      <c r="A202" t="s">
        <v>40</v>
      </c>
      <c r="B202" s="4">
        <v>45902</v>
      </c>
      <c r="C202">
        <v>24</v>
      </c>
      <c r="D202" t="s">
        <v>76</v>
      </c>
      <c r="E202" t="s">
        <v>78</v>
      </c>
      <c r="F202">
        <v>4.54</v>
      </c>
      <c r="G202" t="s">
        <v>108</v>
      </c>
      <c r="H202">
        <v>4.54</v>
      </c>
      <c r="J202" s="2">
        <v>45901</v>
      </c>
      <c r="K202">
        <v>136.19999999999999</v>
      </c>
    </row>
    <row r="203" spans="1:11" x14ac:dyDescent="0.25">
      <c r="A203" t="s">
        <v>40</v>
      </c>
      <c r="B203" s="4">
        <v>45902</v>
      </c>
      <c r="C203">
        <v>24</v>
      </c>
      <c r="D203" t="s">
        <v>76</v>
      </c>
      <c r="E203" t="s">
        <v>78</v>
      </c>
      <c r="F203">
        <v>4.54</v>
      </c>
      <c r="G203" t="s">
        <v>108</v>
      </c>
      <c r="H203">
        <v>4.54</v>
      </c>
      <c r="J203" s="2">
        <v>45931</v>
      </c>
      <c r="K203">
        <v>140.74</v>
      </c>
    </row>
    <row r="204" spans="1:11" x14ac:dyDescent="0.25">
      <c r="A204" t="s">
        <v>40</v>
      </c>
      <c r="B204" s="4">
        <v>45902</v>
      </c>
      <c r="C204">
        <v>24</v>
      </c>
      <c r="D204" t="s">
        <v>76</v>
      </c>
      <c r="E204" t="s">
        <v>78</v>
      </c>
      <c r="F204">
        <v>4.54</v>
      </c>
      <c r="G204" t="s">
        <v>108</v>
      </c>
      <c r="H204">
        <v>4.54</v>
      </c>
      <c r="J204" s="2">
        <v>45962</v>
      </c>
      <c r="K204">
        <v>136.19999999999999</v>
      </c>
    </row>
    <row r="205" spans="1:11" x14ac:dyDescent="0.25">
      <c r="A205" t="s">
        <v>40</v>
      </c>
      <c r="B205" s="4">
        <v>45902</v>
      </c>
      <c r="C205">
        <v>24</v>
      </c>
      <c r="D205" t="s">
        <v>76</v>
      </c>
      <c r="E205" t="s">
        <v>78</v>
      </c>
      <c r="F205">
        <v>4.54</v>
      </c>
      <c r="G205" t="s">
        <v>108</v>
      </c>
      <c r="H205">
        <v>4.54</v>
      </c>
      <c r="J205" s="2">
        <v>45992</v>
      </c>
      <c r="K205">
        <v>140.74</v>
      </c>
    </row>
    <row r="206" spans="1:11" x14ac:dyDescent="0.25">
      <c r="A206" t="s">
        <v>41</v>
      </c>
      <c r="B206" s="4">
        <v>45902</v>
      </c>
      <c r="C206">
        <v>24</v>
      </c>
      <c r="D206" t="s">
        <v>76</v>
      </c>
      <c r="E206" t="s">
        <v>78</v>
      </c>
      <c r="F206">
        <v>3.75</v>
      </c>
      <c r="G206" t="s">
        <v>109</v>
      </c>
      <c r="H206">
        <v>3.75</v>
      </c>
      <c r="J206" s="2">
        <v>45839</v>
      </c>
      <c r="K206">
        <v>116.25</v>
      </c>
    </row>
    <row r="207" spans="1:11" x14ac:dyDescent="0.25">
      <c r="A207" t="s">
        <v>41</v>
      </c>
      <c r="B207" s="4">
        <v>45902</v>
      </c>
      <c r="C207">
        <v>24</v>
      </c>
      <c r="D207" t="s">
        <v>76</v>
      </c>
      <c r="E207" t="s">
        <v>78</v>
      </c>
      <c r="F207">
        <v>3.75</v>
      </c>
      <c r="G207" t="s">
        <v>109</v>
      </c>
      <c r="H207">
        <v>3.75</v>
      </c>
      <c r="J207" s="2">
        <v>45870</v>
      </c>
      <c r="K207">
        <v>116.25</v>
      </c>
    </row>
    <row r="208" spans="1:11" x14ac:dyDescent="0.25">
      <c r="A208" t="s">
        <v>41</v>
      </c>
      <c r="B208" s="4">
        <v>45902</v>
      </c>
      <c r="C208">
        <v>24</v>
      </c>
      <c r="D208" t="s">
        <v>76</v>
      </c>
      <c r="E208" t="s">
        <v>78</v>
      </c>
      <c r="F208">
        <v>3.75</v>
      </c>
      <c r="G208" t="s">
        <v>109</v>
      </c>
      <c r="H208">
        <v>3.75</v>
      </c>
      <c r="J208" s="2">
        <v>45901</v>
      </c>
      <c r="K208">
        <v>112.5</v>
      </c>
    </row>
    <row r="209" spans="1:11" x14ac:dyDescent="0.25">
      <c r="A209" t="s">
        <v>41</v>
      </c>
      <c r="B209" s="4">
        <v>45902</v>
      </c>
      <c r="C209">
        <v>24</v>
      </c>
      <c r="D209" t="s">
        <v>76</v>
      </c>
      <c r="E209" t="s">
        <v>78</v>
      </c>
      <c r="F209">
        <v>3.75</v>
      </c>
      <c r="G209" t="s">
        <v>109</v>
      </c>
      <c r="H209">
        <v>3.75</v>
      </c>
      <c r="J209" s="2">
        <v>45931</v>
      </c>
      <c r="K209">
        <v>116.25</v>
      </c>
    </row>
    <row r="210" spans="1:11" x14ac:dyDescent="0.25">
      <c r="A210" t="s">
        <v>41</v>
      </c>
      <c r="B210" s="4">
        <v>45902</v>
      </c>
      <c r="C210">
        <v>24</v>
      </c>
      <c r="D210" t="s">
        <v>76</v>
      </c>
      <c r="E210" t="s">
        <v>78</v>
      </c>
      <c r="F210">
        <v>3.75</v>
      </c>
      <c r="G210" t="s">
        <v>109</v>
      </c>
      <c r="H210">
        <v>3.75</v>
      </c>
      <c r="J210" s="2">
        <v>45962</v>
      </c>
      <c r="K210">
        <v>112.5</v>
      </c>
    </row>
    <row r="211" spans="1:11" x14ac:dyDescent="0.25">
      <c r="A211" t="s">
        <v>41</v>
      </c>
      <c r="B211" s="4">
        <v>45902</v>
      </c>
      <c r="C211">
        <v>24</v>
      </c>
      <c r="D211" t="s">
        <v>76</v>
      </c>
      <c r="E211" t="s">
        <v>78</v>
      </c>
      <c r="F211">
        <v>3.75</v>
      </c>
      <c r="G211" t="s">
        <v>109</v>
      </c>
      <c r="H211">
        <v>3.75</v>
      </c>
      <c r="J211" s="2">
        <v>45992</v>
      </c>
      <c r="K211">
        <v>116.25</v>
      </c>
    </row>
    <row r="212" spans="1:11" x14ac:dyDescent="0.25">
      <c r="A212" t="s">
        <v>42</v>
      </c>
      <c r="B212" s="4">
        <v>45902</v>
      </c>
      <c r="C212">
        <v>24</v>
      </c>
      <c r="D212" t="s">
        <v>72</v>
      </c>
      <c r="E212" t="s">
        <v>77</v>
      </c>
      <c r="F212">
        <v>3.73</v>
      </c>
      <c r="G212" t="s">
        <v>110</v>
      </c>
      <c r="H212">
        <v>3.73</v>
      </c>
      <c r="J212" s="2">
        <v>45839</v>
      </c>
      <c r="K212">
        <v>115.63</v>
      </c>
    </row>
    <row r="213" spans="1:11" x14ac:dyDescent="0.25">
      <c r="A213" t="s">
        <v>42</v>
      </c>
      <c r="B213" s="4">
        <v>45902</v>
      </c>
      <c r="C213">
        <v>24</v>
      </c>
      <c r="D213" t="s">
        <v>72</v>
      </c>
      <c r="E213" t="s">
        <v>77</v>
      </c>
      <c r="F213">
        <v>3.73</v>
      </c>
      <c r="G213" t="s">
        <v>110</v>
      </c>
      <c r="H213">
        <v>3.73</v>
      </c>
      <c r="J213" s="2">
        <v>45870</v>
      </c>
      <c r="K213">
        <v>115.63</v>
      </c>
    </row>
    <row r="214" spans="1:11" x14ac:dyDescent="0.25">
      <c r="A214" t="s">
        <v>42</v>
      </c>
      <c r="B214" s="4">
        <v>45902</v>
      </c>
      <c r="C214">
        <v>24</v>
      </c>
      <c r="D214" t="s">
        <v>72</v>
      </c>
      <c r="E214" t="s">
        <v>77</v>
      </c>
      <c r="F214">
        <v>3.73</v>
      </c>
      <c r="G214" t="s">
        <v>110</v>
      </c>
      <c r="H214">
        <v>3.73</v>
      </c>
      <c r="J214" s="2">
        <v>45901</v>
      </c>
      <c r="K214">
        <v>111.9</v>
      </c>
    </row>
    <row r="215" spans="1:11" x14ac:dyDescent="0.25">
      <c r="A215" t="s">
        <v>42</v>
      </c>
      <c r="B215" s="4">
        <v>45902</v>
      </c>
      <c r="C215">
        <v>24</v>
      </c>
      <c r="D215" t="s">
        <v>72</v>
      </c>
      <c r="E215" t="s">
        <v>77</v>
      </c>
      <c r="F215">
        <v>3.73</v>
      </c>
      <c r="G215" t="s">
        <v>110</v>
      </c>
      <c r="H215">
        <v>3.73</v>
      </c>
      <c r="J215" s="2">
        <v>45931</v>
      </c>
      <c r="K215">
        <v>115.63</v>
      </c>
    </row>
    <row r="216" spans="1:11" x14ac:dyDescent="0.25">
      <c r="A216" t="s">
        <v>42</v>
      </c>
      <c r="B216" s="4">
        <v>45902</v>
      </c>
      <c r="C216">
        <v>24</v>
      </c>
      <c r="D216" t="s">
        <v>72</v>
      </c>
      <c r="E216" t="s">
        <v>77</v>
      </c>
      <c r="F216">
        <v>3.73</v>
      </c>
      <c r="G216" t="s">
        <v>110</v>
      </c>
      <c r="H216">
        <v>3.73</v>
      </c>
      <c r="J216" s="2">
        <v>45962</v>
      </c>
      <c r="K216">
        <v>111.9</v>
      </c>
    </row>
    <row r="217" spans="1:11" x14ac:dyDescent="0.25">
      <c r="A217" t="s">
        <v>42</v>
      </c>
      <c r="B217" s="4">
        <v>45902</v>
      </c>
      <c r="C217">
        <v>24</v>
      </c>
      <c r="D217" t="s">
        <v>72</v>
      </c>
      <c r="E217" t="s">
        <v>77</v>
      </c>
      <c r="F217">
        <v>3.73</v>
      </c>
      <c r="G217" t="s">
        <v>110</v>
      </c>
      <c r="H217">
        <v>3.73</v>
      </c>
      <c r="J217" s="2">
        <v>45992</v>
      </c>
      <c r="K217">
        <v>115.63</v>
      </c>
    </row>
    <row r="218" spans="1:11" x14ac:dyDescent="0.25">
      <c r="A218" t="s">
        <v>45</v>
      </c>
      <c r="B218" s="4">
        <v>45902</v>
      </c>
      <c r="C218">
        <v>24</v>
      </c>
      <c r="D218" t="s">
        <v>74</v>
      </c>
      <c r="E218" t="s">
        <v>77</v>
      </c>
      <c r="F218">
        <v>3.39</v>
      </c>
      <c r="G218" t="s">
        <v>113</v>
      </c>
      <c r="H218">
        <v>3.39</v>
      </c>
      <c r="J218" s="2">
        <v>45839</v>
      </c>
      <c r="K218">
        <v>105.09</v>
      </c>
    </row>
    <row r="219" spans="1:11" x14ac:dyDescent="0.25">
      <c r="A219" t="s">
        <v>45</v>
      </c>
      <c r="B219" s="4">
        <v>45902</v>
      </c>
      <c r="C219">
        <v>24</v>
      </c>
      <c r="D219" t="s">
        <v>74</v>
      </c>
      <c r="E219" t="s">
        <v>77</v>
      </c>
      <c r="F219">
        <v>3.39</v>
      </c>
      <c r="G219" t="s">
        <v>113</v>
      </c>
      <c r="H219">
        <v>3.39</v>
      </c>
      <c r="J219" s="2">
        <v>45870</v>
      </c>
      <c r="K219">
        <v>105.09</v>
      </c>
    </row>
    <row r="220" spans="1:11" x14ac:dyDescent="0.25">
      <c r="A220" t="s">
        <v>45</v>
      </c>
      <c r="B220" s="4">
        <v>45902</v>
      </c>
      <c r="C220">
        <v>24</v>
      </c>
      <c r="D220" t="s">
        <v>74</v>
      </c>
      <c r="E220" t="s">
        <v>77</v>
      </c>
      <c r="F220">
        <v>3.39</v>
      </c>
      <c r="G220" t="s">
        <v>113</v>
      </c>
      <c r="H220">
        <v>3.39</v>
      </c>
      <c r="J220" s="2">
        <v>45901</v>
      </c>
      <c r="K220">
        <v>101.7</v>
      </c>
    </row>
    <row r="221" spans="1:11" x14ac:dyDescent="0.25">
      <c r="A221" t="s">
        <v>45</v>
      </c>
      <c r="B221" s="4">
        <v>45902</v>
      </c>
      <c r="C221">
        <v>24</v>
      </c>
      <c r="D221" t="s">
        <v>74</v>
      </c>
      <c r="E221" t="s">
        <v>77</v>
      </c>
      <c r="F221">
        <v>3.39</v>
      </c>
      <c r="G221" t="s">
        <v>113</v>
      </c>
      <c r="H221">
        <v>3.39</v>
      </c>
      <c r="J221" s="2">
        <v>45931</v>
      </c>
      <c r="K221">
        <v>105.09</v>
      </c>
    </row>
    <row r="222" spans="1:11" x14ac:dyDescent="0.25">
      <c r="A222" t="s">
        <v>45</v>
      </c>
      <c r="B222" s="4">
        <v>45902</v>
      </c>
      <c r="C222">
        <v>24</v>
      </c>
      <c r="D222" t="s">
        <v>74</v>
      </c>
      <c r="E222" t="s">
        <v>77</v>
      </c>
      <c r="F222">
        <v>3.39</v>
      </c>
      <c r="G222" t="s">
        <v>113</v>
      </c>
      <c r="H222">
        <v>3.39</v>
      </c>
      <c r="J222" s="2">
        <v>45962</v>
      </c>
      <c r="K222">
        <v>101.7</v>
      </c>
    </row>
    <row r="223" spans="1:11" x14ac:dyDescent="0.25">
      <c r="A223" t="s">
        <v>45</v>
      </c>
      <c r="B223" s="4">
        <v>45902</v>
      </c>
      <c r="C223">
        <v>24</v>
      </c>
      <c r="D223" t="s">
        <v>74</v>
      </c>
      <c r="E223" t="s">
        <v>77</v>
      </c>
      <c r="F223">
        <v>3.39</v>
      </c>
      <c r="G223" t="s">
        <v>113</v>
      </c>
      <c r="H223">
        <v>3.39</v>
      </c>
      <c r="J223" s="2">
        <v>45992</v>
      </c>
      <c r="K223">
        <v>105.09</v>
      </c>
    </row>
    <row r="224" spans="1:11" x14ac:dyDescent="0.25">
      <c r="A224" t="s">
        <v>46</v>
      </c>
      <c r="B224" s="4">
        <v>45902</v>
      </c>
      <c r="C224">
        <v>24</v>
      </c>
      <c r="D224" t="s">
        <v>73</v>
      </c>
      <c r="E224" t="s">
        <v>78</v>
      </c>
      <c r="F224">
        <v>3.33</v>
      </c>
      <c r="G224" t="s">
        <v>114</v>
      </c>
      <c r="H224">
        <v>3.33</v>
      </c>
      <c r="J224" s="2">
        <v>45839</v>
      </c>
      <c r="K224">
        <v>103.23</v>
      </c>
    </row>
    <row r="225" spans="1:11" x14ac:dyDescent="0.25">
      <c r="A225" t="s">
        <v>46</v>
      </c>
      <c r="B225" s="4">
        <v>45902</v>
      </c>
      <c r="C225">
        <v>24</v>
      </c>
      <c r="D225" t="s">
        <v>73</v>
      </c>
      <c r="E225" t="s">
        <v>78</v>
      </c>
      <c r="F225">
        <v>3.33</v>
      </c>
      <c r="G225" t="s">
        <v>114</v>
      </c>
      <c r="H225">
        <v>3.33</v>
      </c>
      <c r="J225" s="2">
        <v>45870</v>
      </c>
      <c r="K225">
        <v>103.23</v>
      </c>
    </row>
    <row r="226" spans="1:11" x14ac:dyDescent="0.25">
      <c r="A226" t="s">
        <v>46</v>
      </c>
      <c r="B226" s="4">
        <v>45902</v>
      </c>
      <c r="C226">
        <v>24</v>
      </c>
      <c r="D226" t="s">
        <v>73</v>
      </c>
      <c r="E226" t="s">
        <v>78</v>
      </c>
      <c r="F226">
        <v>3.33</v>
      </c>
      <c r="G226" t="s">
        <v>114</v>
      </c>
      <c r="H226">
        <v>3.33</v>
      </c>
      <c r="J226" s="2">
        <v>45901</v>
      </c>
      <c r="K226">
        <v>99.9</v>
      </c>
    </row>
    <row r="227" spans="1:11" x14ac:dyDescent="0.25">
      <c r="A227" t="s">
        <v>46</v>
      </c>
      <c r="B227" s="4">
        <v>45902</v>
      </c>
      <c r="C227">
        <v>24</v>
      </c>
      <c r="D227" t="s">
        <v>73</v>
      </c>
      <c r="E227" t="s">
        <v>78</v>
      </c>
      <c r="F227">
        <v>3.33</v>
      </c>
      <c r="G227" t="s">
        <v>114</v>
      </c>
      <c r="H227">
        <v>3.33</v>
      </c>
      <c r="J227" s="2">
        <v>45931</v>
      </c>
      <c r="K227">
        <v>103.23</v>
      </c>
    </row>
    <row r="228" spans="1:11" x14ac:dyDescent="0.25">
      <c r="A228" t="s">
        <v>46</v>
      </c>
      <c r="B228" s="4">
        <v>45902</v>
      </c>
      <c r="C228">
        <v>24</v>
      </c>
      <c r="D228" t="s">
        <v>73</v>
      </c>
      <c r="E228" t="s">
        <v>78</v>
      </c>
      <c r="F228">
        <v>3.33</v>
      </c>
      <c r="G228" t="s">
        <v>114</v>
      </c>
      <c r="H228">
        <v>3.33</v>
      </c>
      <c r="J228" s="2">
        <v>45962</v>
      </c>
      <c r="K228">
        <v>99.9</v>
      </c>
    </row>
    <row r="229" spans="1:11" x14ac:dyDescent="0.25">
      <c r="A229" t="s">
        <v>46</v>
      </c>
      <c r="B229" s="4">
        <v>45902</v>
      </c>
      <c r="C229">
        <v>24</v>
      </c>
      <c r="D229" t="s">
        <v>73</v>
      </c>
      <c r="E229" t="s">
        <v>78</v>
      </c>
      <c r="F229">
        <v>3.33</v>
      </c>
      <c r="G229" t="s">
        <v>114</v>
      </c>
      <c r="H229">
        <v>3.33</v>
      </c>
      <c r="J229" s="2">
        <v>45992</v>
      </c>
      <c r="K229">
        <v>103.23</v>
      </c>
    </row>
    <row r="230" spans="1:11" x14ac:dyDescent="0.25">
      <c r="A230" t="s">
        <v>47</v>
      </c>
      <c r="B230" s="4">
        <v>45902</v>
      </c>
      <c r="C230">
        <v>24</v>
      </c>
      <c r="D230" t="s">
        <v>72</v>
      </c>
      <c r="E230" t="s">
        <v>77</v>
      </c>
      <c r="F230">
        <v>3.3</v>
      </c>
      <c r="G230" t="s">
        <v>115</v>
      </c>
      <c r="H230">
        <v>3.3</v>
      </c>
      <c r="J230" s="2">
        <v>45839</v>
      </c>
      <c r="K230">
        <v>102.3</v>
      </c>
    </row>
    <row r="231" spans="1:11" x14ac:dyDescent="0.25">
      <c r="A231" t="s">
        <v>47</v>
      </c>
      <c r="B231" s="4">
        <v>45902</v>
      </c>
      <c r="C231">
        <v>24</v>
      </c>
      <c r="D231" t="s">
        <v>72</v>
      </c>
      <c r="E231" t="s">
        <v>77</v>
      </c>
      <c r="F231">
        <v>3.3</v>
      </c>
      <c r="G231" t="s">
        <v>115</v>
      </c>
      <c r="H231">
        <v>3.3</v>
      </c>
      <c r="J231" s="2">
        <v>45870</v>
      </c>
      <c r="K231">
        <v>102.3</v>
      </c>
    </row>
    <row r="232" spans="1:11" x14ac:dyDescent="0.25">
      <c r="A232" t="s">
        <v>47</v>
      </c>
      <c r="B232" s="4">
        <v>45902</v>
      </c>
      <c r="C232">
        <v>24</v>
      </c>
      <c r="D232" t="s">
        <v>72</v>
      </c>
      <c r="E232" t="s">
        <v>77</v>
      </c>
      <c r="F232">
        <v>3.3</v>
      </c>
      <c r="G232" t="s">
        <v>115</v>
      </c>
      <c r="H232">
        <v>3.3</v>
      </c>
      <c r="J232" s="2">
        <v>45901</v>
      </c>
      <c r="K232">
        <v>99</v>
      </c>
    </row>
    <row r="233" spans="1:11" x14ac:dyDescent="0.25">
      <c r="A233" t="s">
        <v>47</v>
      </c>
      <c r="B233" s="4">
        <v>45902</v>
      </c>
      <c r="C233">
        <v>24</v>
      </c>
      <c r="D233" t="s">
        <v>72</v>
      </c>
      <c r="E233" t="s">
        <v>77</v>
      </c>
      <c r="F233">
        <v>3.3</v>
      </c>
      <c r="G233" t="s">
        <v>115</v>
      </c>
      <c r="H233">
        <v>3.3</v>
      </c>
      <c r="J233" s="2">
        <v>45931</v>
      </c>
      <c r="K233">
        <v>102.3</v>
      </c>
    </row>
    <row r="234" spans="1:11" x14ac:dyDescent="0.25">
      <c r="A234" t="s">
        <v>47</v>
      </c>
      <c r="B234" s="4">
        <v>45902</v>
      </c>
      <c r="C234">
        <v>24</v>
      </c>
      <c r="D234" t="s">
        <v>72</v>
      </c>
      <c r="E234" t="s">
        <v>77</v>
      </c>
      <c r="F234">
        <v>3.3</v>
      </c>
      <c r="G234" t="s">
        <v>115</v>
      </c>
      <c r="H234">
        <v>3.3</v>
      </c>
      <c r="J234" s="2">
        <v>45962</v>
      </c>
      <c r="K234">
        <v>99</v>
      </c>
    </row>
    <row r="235" spans="1:11" x14ac:dyDescent="0.25">
      <c r="A235" t="s">
        <v>47</v>
      </c>
      <c r="B235" s="4">
        <v>45902</v>
      </c>
      <c r="C235">
        <v>24</v>
      </c>
      <c r="D235" t="s">
        <v>72</v>
      </c>
      <c r="E235" t="s">
        <v>77</v>
      </c>
      <c r="F235">
        <v>3.3</v>
      </c>
      <c r="G235" t="s">
        <v>115</v>
      </c>
      <c r="H235">
        <v>3.3</v>
      </c>
      <c r="J235" s="2">
        <v>45992</v>
      </c>
      <c r="K235">
        <v>102.3</v>
      </c>
    </row>
    <row r="236" spans="1:11" x14ac:dyDescent="0.25">
      <c r="A236" t="s">
        <v>48</v>
      </c>
      <c r="B236" s="4">
        <v>45902</v>
      </c>
      <c r="C236">
        <v>24</v>
      </c>
      <c r="D236" t="s">
        <v>76</v>
      </c>
      <c r="E236" t="s">
        <v>78</v>
      </c>
      <c r="F236">
        <v>3.29</v>
      </c>
      <c r="G236" t="s">
        <v>116</v>
      </c>
      <c r="H236">
        <v>3.29</v>
      </c>
      <c r="J236" s="2">
        <v>45839</v>
      </c>
      <c r="K236">
        <v>101.99</v>
      </c>
    </row>
    <row r="237" spans="1:11" x14ac:dyDescent="0.25">
      <c r="A237" t="s">
        <v>48</v>
      </c>
      <c r="B237" s="4">
        <v>45902</v>
      </c>
      <c r="C237">
        <v>24</v>
      </c>
      <c r="D237" t="s">
        <v>76</v>
      </c>
      <c r="E237" t="s">
        <v>78</v>
      </c>
      <c r="F237">
        <v>3.29</v>
      </c>
      <c r="G237" t="s">
        <v>116</v>
      </c>
      <c r="H237">
        <v>3.29</v>
      </c>
      <c r="J237" s="2">
        <v>45870</v>
      </c>
      <c r="K237">
        <v>101.99</v>
      </c>
    </row>
    <row r="238" spans="1:11" x14ac:dyDescent="0.25">
      <c r="A238" t="s">
        <v>48</v>
      </c>
      <c r="B238" s="4">
        <v>45902</v>
      </c>
      <c r="C238">
        <v>24</v>
      </c>
      <c r="D238" t="s">
        <v>76</v>
      </c>
      <c r="E238" t="s">
        <v>78</v>
      </c>
      <c r="F238">
        <v>3.29</v>
      </c>
      <c r="G238" t="s">
        <v>116</v>
      </c>
      <c r="H238">
        <v>3.29</v>
      </c>
      <c r="J238" s="2">
        <v>45901</v>
      </c>
      <c r="K238">
        <v>98.7</v>
      </c>
    </row>
    <row r="239" spans="1:11" x14ac:dyDescent="0.25">
      <c r="A239" t="s">
        <v>48</v>
      </c>
      <c r="B239" s="4">
        <v>45902</v>
      </c>
      <c r="C239">
        <v>24</v>
      </c>
      <c r="D239" t="s">
        <v>76</v>
      </c>
      <c r="E239" t="s">
        <v>78</v>
      </c>
      <c r="F239">
        <v>3.29</v>
      </c>
      <c r="G239" t="s">
        <v>116</v>
      </c>
      <c r="H239">
        <v>3.29</v>
      </c>
      <c r="J239" s="2">
        <v>45931</v>
      </c>
      <c r="K239">
        <v>101.99</v>
      </c>
    </row>
    <row r="240" spans="1:11" x14ac:dyDescent="0.25">
      <c r="A240" t="s">
        <v>48</v>
      </c>
      <c r="B240" s="4">
        <v>45902</v>
      </c>
      <c r="C240">
        <v>24</v>
      </c>
      <c r="D240" t="s">
        <v>76</v>
      </c>
      <c r="E240" t="s">
        <v>78</v>
      </c>
      <c r="F240">
        <v>3.29</v>
      </c>
      <c r="G240" t="s">
        <v>116</v>
      </c>
      <c r="H240">
        <v>3.29</v>
      </c>
      <c r="J240" s="2">
        <v>45962</v>
      </c>
      <c r="K240">
        <v>98.7</v>
      </c>
    </row>
    <row r="241" spans="1:11" x14ac:dyDescent="0.25">
      <c r="A241" t="s">
        <v>48</v>
      </c>
      <c r="B241" s="4">
        <v>45902</v>
      </c>
      <c r="C241">
        <v>24</v>
      </c>
      <c r="D241" t="s">
        <v>76</v>
      </c>
      <c r="E241" t="s">
        <v>78</v>
      </c>
      <c r="F241">
        <v>3.29</v>
      </c>
      <c r="G241" t="s">
        <v>116</v>
      </c>
      <c r="H241">
        <v>3.29</v>
      </c>
      <c r="J241" s="2">
        <v>45992</v>
      </c>
      <c r="K241">
        <v>101.99</v>
      </c>
    </row>
    <row r="242" spans="1:11" x14ac:dyDescent="0.25">
      <c r="A242" t="s">
        <v>49</v>
      </c>
      <c r="B242" s="4">
        <v>45902</v>
      </c>
      <c r="C242">
        <v>24</v>
      </c>
      <c r="D242" t="s">
        <v>76</v>
      </c>
      <c r="E242" t="s">
        <v>78</v>
      </c>
      <c r="F242">
        <v>3.22</v>
      </c>
      <c r="G242" t="s">
        <v>117</v>
      </c>
      <c r="H242">
        <v>3.22</v>
      </c>
      <c r="J242" s="2">
        <v>45839</v>
      </c>
      <c r="K242">
        <v>99.820000000000007</v>
      </c>
    </row>
    <row r="243" spans="1:11" x14ac:dyDescent="0.25">
      <c r="A243" t="s">
        <v>49</v>
      </c>
      <c r="B243" s="4">
        <v>45902</v>
      </c>
      <c r="C243">
        <v>24</v>
      </c>
      <c r="D243" t="s">
        <v>76</v>
      </c>
      <c r="E243" t="s">
        <v>78</v>
      </c>
      <c r="F243">
        <v>3.22</v>
      </c>
      <c r="G243" t="s">
        <v>117</v>
      </c>
      <c r="H243">
        <v>3.22</v>
      </c>
      <c r="J243" s="2">
        <v>45870</v>
      </c>
      <c r="K243">
        <v>99.820000000000007</v>
      </c>
    </row>
    <row r="244" spans="1:11" x14ac:dyDescent="0.25">
      <c r="A244" t="s">
        <v>49</v>
      </c>
      <c r="B244" s="4">
        <v>45902</v>
      </c>
      <c r="C244">
        <v>24</v>
      </c>
      <c r="D244" t="s">
        <v>76</v>
      </c>
      <c r="E244" t="s">
        <v>78</v>
      </c>
      <c r="F244">
        <v>3.22</v>
      </c>
      <c r="G244" t="s">
        <v>117</v>
      </c>
      <c r="H244">
        <v>3.22</v>
      </c>
      <c r="J244" s="2">
        <v>45901</v>
      </c>
      <c r="K244">
        <v>96.600000000000009</v>
      </c>
    </row>
    <row r="245" spans="1:11" x14ac:dyDescent="0.25">
      <c r="A245" t="s">
        <v>49</v>
      </c>
      <c r="B245" s="4">
        <v>45902</v>
      </c>
      <c r="C245">
        <v>24</v>
      </c>
      <c r="D245" t="s">
        <v>76</v>
      </c>
      <c r="E245" t="s">
        <v>78</v>
      </c>
      <c r="F245">
        <v>3.22</v>
      </c>
      <c r="G245" t="s">
        <v>117</v>
      </c>
      <c r="H245">
        <v>3.22</v>
      </c>
      <c r="J245" s="2">
        <v>45931</v>
      </c>
      <c r="K245">
        <v>99.820000000000007</v>
      </c>
    </row>
    <row r="246" spans="1:11" x14ac:dyDescent="0.25">
      <c r="A246" t="s">
        <v>49</v>
      </c>
      <c r="B246" s="4">
        <v>45902</v>
      </c>
      <c r="C246">
        <v>24</v>
      </c>
      <c r="D246" t="s">
        <v>76</v>
      </c>
      <c r="E246" t="s">
        <v>78</v>
      </c>
      <c r="F246">
        <v>3.22</v>
      </c>
      <c r="G246" t="s">
        <v>117</v>
      </c>
      <c r="H246">
        <v>3.22</v>
      </c>
      <c r="J246" s="2">
        <v>45962</v>
      </c>
      <c r="K246">
        <v>96.600000000000009</v>
      </c>
    </row>
    <row r="247" spans="1:11" x14ac:dyDescent="0.25">
      <c r="A247" t="s">
        <v>49</v>
      </c>
      <c r="B247" s="4">
        <v>45902</v>
      </c>
      <c r="C247">
        <v>24</v>
      </c>
      <c r="D247" t="s">
        <v>76</v>
      </c>
      <c r="E247" t="s">
        <v>78</v>
      </c>
      <c r="F247">
        <v>3.22</v>
      </c>
      <c r="G247" t="s">
        <v>117</v>
      </c>
      <c r="H247">
        <v>3.22</v>
      </c>
      <c r="J247" s="2">
        <v>45992</v>
      </c>
      <c r="K247">
        <v>99.820000000000007</v>
      </c>
    </row>
    <row r="248" spans="1:11" x14ac:dyDescent="0.25">
      <c r="A248" t="s">
        <v>50</v>
      </c>
      <c r="B248" s="4">
        <v>45902</v>
      </c>
      <c r="C248">
        <v>24</v>
      </c>
      <c r="D248" t="s">
        <v>72</v>
      </c>
      <c r="E248" t="s">
        <v>77</v>
      </c>
      <c r="F248">
        <v>3.1</v>
      </c>
      <c r="G248" t="s">
        <v>118</v>
      </c>
      <c r="H248">
        <v>3.1</v>
      </c>
      <c r="J248" s="2">
        <v>45839</v>
      </c>
      <c r="K248">
        <v>96.100000000000009</v>
      </c>
    </row>
    <row r="249" spans="1:11" x14ac:dyDescent="0.25">
      <c r="A249" t="s">
        <v>50</v>
      </c>
      <c r="B249" s="4">
        <v>45902</v>
      </c>
      <c r="C249">
        <v>24</v>
      </c>
      <c r="D249" t="s">
        <v>72</v>
      </c>
      <c r="E249" t="s">
        <v>77</v>
      </c>
      <c r="F249">
        <v>3.1</v>
      </c>
      <c r="G249" t="s">
        <v>118</v>
      </c>
      <c r="H249">
        <v>3.1</v>
      </c>
      <c r="J249" s="2">
        <v>45870</v>
      </c>
      <c r="K249">
        <v>96.100000000000009</v>
      </c>
    </row>
    <row r="250" spans="1:11" x14ac:dyDescent="0.25">
      <c r="A250" t="s">
        <v>50</v>
      </c>
      <c r="B250" s="4">
        <v>45902</v>
      </c>
      <c r="C250">
        <v>24</v>
      </c>
      <c r="D250" t="s">
        <v>72</v>
      </c>
      <c r="E250" t="s">
        <v>77</v>
      </c>
      <c r="F250">
        <v>3.1</v>
      </c>
      <c r="G250" t="s">
        <v>118</v>
      </c>
      <c r="H250">
        <v>3.1</v>
      </c>
      <c r="J250" s="2">
        <v>45901</v>
      </c>
      <c r="K250">
        <v>93</v>
      </c>
    </row>
    <row r="251" spans="1:11" x14ac:dyDescent="0.25">
      <c r="A251" t="s">
        <v>50</v>
      </c>
      <c r="B251" s="4">
        <v>45902</v>
      </c>
      <c r="C251">
        <v>24</v>
      </c>
      <c r="D251" t="s">
        <v>72</v>
      </c>
      <c r="E251" t="s">
        <v>77</v>
      </c>
      <c r="F251">
        <v>3.1</v>
      </c>
      <c r="G251" t="s">
        <v>118</v>
      </c>
      <c r="H251">
        <v>3.1</v>
      </c>
      <c r="J251" s="2">
        <v>45931</v>
      </c>
      <c r="K251">
        <v>96.100000000000009</v>
      </c>
    </row>
    <row r="252" spans="1:11" x14ac:dyDescent="0.25">
      <c r="A252" t="s">
        <v>50</v>
      </c>
      <c r="B252" s="4">
        <v>45902</v>
      </c>
      <c r="C252">
        <v>24</v>
      </c>
      <c r="D252" t="s">
        <v>72</v>
      </c>
      <c r="E252" t="s">
        <v>77</v>
      </c>
      <c r="F252">
        <v>3.1</v>
      </c>
      <c r="G252" t="s">
        <v>118</v>
      </c>
      <c r="H252">
        <v>3.1</v>
      </c>
      <c r="J252" s="2">
        <v>45962</v>
      </c>
      <c r="K252">
        <v>93</v>
      </c>
    </row>
    <row r="253" spans="1:11" x14ac:dyDescent="0.25">
      <c r="A253" t="s">
        <v>50</v>
      </c>
      <c r="B253" s="4">
        <v>45902</v>
      </c>
      <c r="C253">
        <v>24</v>
      </c>
      <c r="D253" t="s">
        <v>72</v>
      </c>
      <c r="E253" t="s">
        <v>77</v>
      </c>
      <c r="F253">
        <v>3.1</v>
      </c>
      <c r="G253" t="s">
        <v>118</v>
      </c>
      <c r="H253">
        <v>3.1</v>
      </c>
      <c r="J253" s="2">
        <v>45992</v>
      </c>
      <c r="K253">
        <v>96.100000000000009</v>
      </c>
    </row>
    <row r="254" spans="1:11" x14ac:dyDescent="0.25">
      <c r="A254" t="s">
        <v>51</v>
      </c>
      <c r="B254" s="4">
        <v>45902</v>
      </c>
      <c r="C254">
        <v>24</v>
      </c>
      <c r="D254" t="s">
        <v>76</v>
      </c>
      <c r="E254" t="s">
        <v>78</v>
      </c>
      <c r="F254">
        <v>2.84</v>
      </c>
      <c r="G254" t="s">
        <v>119</v>
      </c>
      <c r="H254">
        <v>2.84</v>
      </c>
      <c r="J254" s="2">
        <v>45839</v>
      </c>
      <c r="K254">
        <v>88.039999999999992</v>
      </c>
    </row>
    <row r="255" spans="1:11" x14ac:dyDescent="0.25">
      <c r="A255" t="s">
        <v>51</v>
      </c>
      <c r="B255" s="4">
        <v>45902</v>
      </c>
      <c r="C255">
        <v>24</v>
      </c>
      <c r="D255" t="s">
        <v>76</v>
      </c>
      <c r="E255" t="s">
        <v>78</v>
      </c>
      <c r="F255">
        <v>2.84</v>
      </c>
      <c r="G255" t="s">
        <v>119</v>
      </c>
      <c r="H255">
        <v>2.84</v>
      </c>
      <c r="J255" s="2">
        <v>45870</v>
      </c>
      <c r="K255">
        <v>88.039999999999992</v>
      </c>
    </row>
    <row r="256" spans="1:11" x14ac:dyDescent="0.25">
      <c r="A256" t="s">
        <v>51</v>
      </c>
      <c r="B256" s="4">
        <v>45902</v>
      </c>
      <c r="C256">
        <v>24</v>
      </c>
      <c r="D256" t="s">
        <v>76</v>
      </c>
      <c r="E256" t="s">
        <v>78</v>
      </c>
      <c r="F256">
        <v>2.84</v>
      </c>
      <c r="G256" t="s">
        <v>119</v>
      </c>
      <c r="H256">
        <v>2.84</v>
      </c>
      <c r="J256" s="2">
        <v>45901</v>
      </c>
      <c r="K256">
        <v>85.199999999999989</v>
      </c>
    </row>
    <row r="257" spans="1:11" x14ac:dyDescent="0.25">
      <c r="A257" t="s">
        <v>51</v>
      </c>
      <c r="B257" s="4">
        <v>45902</v>
      </c>
      <c r="C257">
        <v>24</v>
      </c>
      <c r="D257" t="s">
        <v>76</v>
      </c>
      <c r="E257" t="s">
        <v>78</v>
      </c>
      <c r="F257">
        <v>2.84</v>
      </c>
      <c r="G257" t="s">
        <v>119</v>
      </c>
      <c r="H257">
        <v>2.84</v>
      </c>
      <c r="J257" s="2">
        <v>45931</v>
      </c>
      <c r="K257">
        <v>88.039999999999992</v>
      </c>
    </row>
    <row r="258" spans="1:11" x14ac:dyDescent="0.25">
      <c r="A258" t="s">
        <v>51</v>
      </c>
      <c r="B258" s="4">
        <v>45902</v>
      </c>
      <c r="C258">
        <v>24</v>
      </c>
      <c r="D258" t="s">
        <v>76</v>
      </c>
      <c r="E258" t="s">
        <v>78</v>
      </c>
      <c r="F258">
        <v>2.84</v>
      </c>
      <c r="G258" t="s">
        <v>119</v>
      </c>
      <c r="H258">
        <v>2.84</v>
      </c>
      <c r="J258" s="2">
        <v>45962</v>
      </c>
      <c r="K258">
        <v>85.199999999999989</v>
      </c>
    </row>
    <row r="259" spans="1:11" x14ac:dyDescent="0.25">
      <c r="A259" t="s">
        <v>51</v>
      </c>
      <c r="B259" s="4">
        <v>45902</v>
      </c>
      <c r="C259">
        <v>24</v>
      </c>
      <c r="D259" t="s">
        <v>76</v>
      </c>
      <c r="E259" t="s">
        <v>78</v>
      </c>
      <c r="F259">
        <v>2.84</v>
      </c>
      <c r="G259" t="s">
        <v>119</v>
      </c>
      <c r="H259">
        <v>2.84</v>
      </c>
      <c r="J259" s="2">
        <v>45992</v>
      </c>
      <c r="K259">
        <v>88.039999999999992</v>
      </c>
    </row>
    <row r="260" spans="1:11" x14ac:dyDescent="0.25">
      <c r="A260" t="s">
        <v>52</v>
      </c>
      <c r="B260" s="4">
        <v>45902</v>
      </c>
      <c r="C260">
        <v>24</v>
      </c>
      <c r="D260" t="s">
        <v>72</v>
      </c>
      <c r="E260" t="s">
        <v>77</v>
      </c>
      <c r="F260">
        <v>2.79</v>
      </c>
      <c r="G260" t="s">
        <v>120</v>
      </c>
      <c r="H260">
        <v>2.79</v>
      </c>
      <c r="J260" s="2">
        <v>45839</v>
      </c>
      <c r="K260">
        <v>86.49</v>
      </c>
    </row>
    <row r="261" spans="1:11" x14ac:dyDescent="0.25">
      <c r="A261" t="s">
        <v>52</v>
      </c>
      <c r="B261" s="4">
        <v>45902</v>
      </c>
      <c r="C261">
        <v>24</v>
      </c>
      <c r="D261" t="s">
        <v>72</v>
      </c>
      <c r="E261" t="s">
        <v>77</v>
      </c>
      <c r="F261">
        <v>2.79</v>
      </c>
      <c r="G261" t="s">
        <v>120</v>
      </c>
      <c r="H261">
        <v>2.79</v>
      </c>
      <c r="J261" s="2">
        <v>45870</v>
      </c>
      <c r="K261">
        <v>86.49</v>
      </c>
    </row>
    <row r="262" spans="1:11" x14ac:dyDescent="0.25">
      <c r="A262" t="s">
        <v>52</v>
      </c>
      <c r="B262" s="4">
        <v>45902</v>
      </c>
      <c r="C262">
        <v>24</v>
      </c>
      <c r="D262" t="s">
        <v>72</v>
      </c>
      <c r="E262" t="s">
        <v>77</v>
      </c>
      <c r="F262">
        <v>2.79</v>
      </c>
      <c r="G262" t="s">
        <v>120</v>
      </c>
      <c r="H262">
        <v>2.79</v>
      </c>
      <c r="J262" s="2">
        <v>45901</v>
      </c>
      <c r="K262">
        <v>83.7</v>
      </c>
    </row>
    <row r="263" spans="1:11" x14ac:dyDescent="0.25">
      <c r="A263" t="s">
        <v>52</v>
      </c>
      <c r="B263" s="4">
        <v>45902</v>
      </c>
      <c r="C263">
        <v>24</v>
      </c>
      <c r="D263" t="s">
        <v>72</v>
      </c>
      <c r="E263" t="s">
        <v>77</v>
      </c>
      <c r="F263">
        <v>2.79</v>
      </c>
      <c r="G263" t="s">
        <v>120</v>
      </c>
      <c r="H263">
        <v>2.79</v>
      </c>
      <c r="J263" s="2">
        <v>45931</v>
      </c>
      <c r="K263">
        <v>86.49</v>
      </c>
    </row>
    <row r="264" spans="1:11" x14ac:dyDescent="0.25">
      <c r="A264" t="s">
        <v>52</v>
      </c>
      <c r="B264" s="4">
        <v>45902</v>
      </c>
      <c r="C264">
        <v>24</v>
      </c>
      <c r="D264" t="s">
        <v>72</v>
      </c>
      <c r="E264" t="s">
        <v>77</v>
      </c>
      <c r="F264">
        <v>2.79</v>
      </c>
      <c r="G264" t="s">
        <v>120</v>
      </c>
      <c r="H264">
        <v>2.79</v>
      </c>
      <c r="J264" s="2">
        <v>45962</v>
      </c>
      <c r="K264">
        <v>83.7</v>
      </c>
    </row>
    <row r="265" spans="1:11" x14ac:dyDescent="0.25">
      <c r="A265" t="s">
        <v>52</v>
      </c>
      <c r="B265" s="4">
        <v>45902</v>
      </c>
      <c r="C265">
        <v>24</v>
      </c>
      <c r="D265" t="s">
        <v>72</v>
      </c>
      <c r="E265" t="s">
        <v>77</v>
      </c>
      <c r="F265">
        <v>2.79</v>
      </c>
      <c r="G265" t="s">
        <v>120</v>
      </c>
      <c r="H265">
        <v>2.79</v>
      </c>
      <c r="J265" s="2">
        <v>45992</v>
      </c>
      <c r="K265">
        <v>86.49</v>
      </c>
    </row>
    <row r="266" spans="1:11" x14ac:dyDescent="0.25">
      <c r="A266" t="s">
        <v>53</v>
      </c>
      <c r="B266" s="4">
        <v>45902</v>
      </c>
      <c r="C266">
        <v>24</v>
      </c>
      <c r="D266" t="s">
        <v>72</v>
      </c>
      <c r="E266" t="s">
        <v>77</v>
      </c>
      <c r="F266">
        <v>2.74</v>
      </c>
      <c r="G266" t="s">
        <v>121</v>
      </c>
      <c r="H266">
        <v>2.74</v>
      </c>
      <c r="J266" s="2">
        <v>45839</v>
      </c>
      <c r="K266">
        <v>84.940000000000012</v>
      </c>
    </row>
    <row r="267" spans="1:11" x14ac:dyDescent="0.25">
      <c r="A267" t="s">
        <v>53</v>
      </c>
      <c r="B267" s="4">
        <v>45902</v>
      </c>
      <c r="C267">
        <v>24</v>
      </c>
      <c r="D267" t="s">
        <v>72</v>
      </c>
      <c r="E267" t="s">
        <v>77</v>
      </c>
      <c r="F267">
        <v>2.74</v>
      </c>
      <c r="G267" t="s">
        <v>121</v>
      </c>
      <c r="H267">
        <v>2.74</v>
      </c>
      <c r="J267" s="2">
        <v>45870</v>
      </c>
      <c r="K267">
        <v>84.940000000000012</v>
      </c>
    </row>
    <row r="268" spans="1:11" x14ac:dyDescent="0.25">
      <c r="A268" t="s">
        <v>53</v>
      </c>
      <c r="B268" s="4">
        <v>45902</v>
      </c>
      <c r="C268">
        <v>24</v>
      </c>
      <c r="D268" t="s">
        <v>72</v>
      </c>
      <c r="E268" t="s">
        <v>77</v>
      </c>
      <c r="F268">
        <v>2.74</v>
      </c>
      <c r="G268" t="s">
        <v>121</v>
      </c>
      <c r="H268">
        <v>2.74</v>
      </c>
      <c r="J268" s="2">
        <v>45901</v>
      </c>
      <c r="K268">
        <v>82.2</v>
      </c>
    </row>
    <row r="269" spans="1:11" x14ac:dyDescent="0.25">
      <c r="A269" t="s">
        <v>53</v>
      </c>
      <c r="B269" s="4">
        <v>45902</v>
      </c>
      <c r="C269">
        <v>24</v>
      </c>
      <c r="D269" t="s">
        <v>72</v>
      </c>
      <c r="E269" t="s">
        <v>77</v>
      </c>
      <c r="F269">
        <v>2.74</v>
      </c>
      <c r="G269" t="s">
        <v>121</v>
      </c>
      <c r="H269">
        <v>2.74</v>
      </c>
      <c r="J269" s="2">
        <v>45931</v>
      </c>
      <c r="K269">
        <v>84.940000000000012</v>
      </c>
    </row>
    <row r="270" spans="1:11" x14ac:dyDescent="0.25">
      <c r="A270" t="s">
        <v>53</v>
      </c>
      <c r="B270" s="4">
        <v>45902</v>
      </c>
      <c r="C270">
        <v>24</v>
      </c>
      <c r="D270" t="s">
        <v>72</v>
      </c>
      <c r="E270" t="s">
        <v>77</v>
      </c>
      <c r="F270">
        <v>2.74</v>
      </c>
      <c r="G270" t="s">
        <v>121</v>
      </c>
      <c r="H270">
        <v>2.74</v>
      </c>
      <c r="J270" s="2">
        <v>45962</v>
      </c>
      <c r="K270">
        <v>82.2</v>
      </c>
    </row>
    <row r="271" spans="1:11" x14ac:dyDescent="0.25">
      <c r="A271" t="s">
        <v>53</v>
      </c>
      <c r="B271" s="4">
        <v>45902</v>
      </c>
      <c r="C271">
        <v>24</v>
      </c>
      <c r="D271" t="s">
        <v>72</v>
      </c>
      <c r="E271" t="s">
        <v>77</v>
      </c>
      <c r="F271">
        <v>2.74</v>
      </c>
      <c r="G271" t="s">
        <v>121</v>
      </c>
      <c r="H271">
        <v>2.74</v>
      </c>
      <c r="J271" s="2">
        <v>45992</v>
      </c>
      <c r="K271">
        <v>84.940000000000012</v>
      </c>
    </row>
    <row r="272" spans="1:11" x14ac:dyDescent="0.25">
      <c r="A272" t="s">
        <v>54</v>
      </c>
      <c r="B272" s="4">
        <v>45902</v>
      </c>
      <c r="C272">
        <v>24</v>
      </c>
      <c r="D272" t="s">
        <v>76</v>
      </c>
      <c r="E272" t="s">
        <v>78</v>
      </c>
      <c r="F272">
        <v>2.72</v>
      </c>
      <c r="G272" t="s">
        <v>122</v>
      </c>
      <c r="H272">
        <v>2.72</v>
      </c>
      <c r="J272" s="2">
        <v>45839</v>
      </c>
      <c r="K272">
        <v>84.320000000000007</v>
      </c>
    </row>
    <row r="273" spans="1:11" x14ac:dyDescent="0.25">
      <c r="A273" t="s">
        <v>54</v>
      </c>
      <c r="B273" s="4">
        <v>45902</v>
      </c>
      <c r="C273">
        <v>24</v>
      </c>
      <c r="D273" t="s">
        <v>76</v>
      </c>
      <c r="E273" t="s">
        <v>78</v>
      </c>
      <c r="F273">
        <v>2.72</v>
      </c>
      <c r="G273" t="s">
        <v>122</v>
      </c>
      <c r="H273">
        <v>2.72</v>
      </c>
      <c r="J273" s="2">
        <v>45870</v>
      </c>
      <c r="K273">
        <v>84.320000000000007</v>
      </c>
    </row>
    <row r="274" spans="1:11" x14ac:dyDescent="0.25">
      <c r="A274" t="s">
        <v>54</v>
      </c>
      <c r="B274" s="4">
        <v>45902</v>
      </c>
      <c r="C274">
        <v>24</v>
      </c>
      <c r="D274" t="s">
        <v>76</v>
      </c>
      <c r="E274" t="s">
        <v>78</v>
      </c>
      <c r="F274">
        <v>2.72</v>
      </c>
      <c r="G274" t="s">
        <v>122</v>
      </c>
      <c r="H274">
        <v>2.72</v>
      </c>
      <c r="J274" s="2">
        <v>45901</v>
      </c>
      <c r="K274">
        <v>81.600000000000009</v>
      </c>
    </row>
    <row r="275" spans="1:11" x14ac:dyDescent="0.25">
      <c r="A275" t="s">
        <v>54</v>
      </c>
      <c r="B275" s="4">
        <v>45902</v>
      </c>
      <c r="C275">
        <v>24</v>
      </c>
      <c r="D275" t="s">
        <v>76</v>
      </c>
      <c r="E275" t="s">
        <v>78</v>
      </c>
      <c r="F275">
        <v>2.72</v>
      </c>
      <c r="G275" t="s">
        <v>122</v>
      </c>
      <c r="H275">
        <v>2.72</v>
      </c>
      <c r="J275" s="2">
        <v>45931</v>
      </c>
      <c r="K275">
        <v>84.320000000000007</v>
      </c>
    </row>
    <row r="276" spans="1:11" x14ac:dyDescent="0.25">
      <c r="A276" t="s">
        <v>54</v>
      </c>
      <c r="B276" s="4">
        <v>45902</v>
      </c>
      <c r="C276">
        <v>24</v>
      </c>
      <c r="D276" t="s">
        <v>76</v>
      </c>
      <c r="E276" t="s">
        <v>78</v>
      </c>
      <c r="F276">
        <v>2.72</v>
      </c>
      <c r="G276" t="s">
        <v>122</v>
      </c>
      <c r="H276">
        <v>2.72</v>
      </c>
      <c r="J276" s="2">
        <v>45962</v>
      </c>
      <c r="K276">
        <v>81.600000000000009</v>
      </c>
    </row>
    <row r="277" spans="1:11" x14ac:dyDescent="0.25">
      <c r="A277" t="s">
        <v>54</v>
      </c>
      <c r="B277" s="4">
        <v>45902</v>
      </c>
      <c r="C277">
        <v>24</v>
      </c>
      <c r="D277" t="s">
        <v>76</v>
      </c>
      <c r="E277" t="s">
        <v>78</v>
      </c>
      <c r="F277">
        <v>2.72</v>
      </c>
      <c r="G277" t="s">
        <v>122</v>
      </c>
      <c r="H277">
        <v>2.72</v>
      </c>
      <c r="J277" s="2">
        <v>45992</v>
      </c>
      <c r="K277">
        <v>84.320000000000007</v>
      </c>
    </row>
    <row r="278" spans="1:11" x14ac:dyDescent="0.25">
      <c r="A278" t="s">
        <v>67</v>
      </c>
      <c r="B278" s="4">
        <v>45902</v>
      </c>
      <c r="C278">
        <v>24</v>
      </c>
      <c r="D278" t="s">
        <v>72</v>
      </c>
      <c r="E278" t="s">
        <v>77</v>
      </c>
      <c r="F278">
        <v>1.097</v>
      </c>
      <c r="G278" t="s">
        <v>135</v>
      </c>
      <c r="H278">
        <v>2.58</v>
      </c>
      <c r="J278" s="2">
        <v>45839</v>
      </c>
      <c r="K278">
        <v>34.006999999999998</v>
      </c>
    </row>
    <row r="279" spans="1:11" x14ac:dyDescent="0.25">
      <c r="A279" t="s">
        <v>67</v>
      </c>
      <c r="B279" s="4">
        <v>45902</v>
      </c>
      <c r="C279">
        <v>24</v>
      </c>
      <c r="D279" t="s">
        <v>72</v>
      </c>
      <c r="E279" t="s">
        <v>77</v>
      </c>
      <c r="F279">
        <v>1.097</v>
      </c>
      <c r="G279" t="s">
        <v>135</v>
      </c>
      <c r="H279">
        <v>2.58</v>
      </c>
      <c r="J279" s="2">
        <v>45870</v>
      </c>
      <c r="K279">
        <v>34.006999999999998</v>
      </c>
    </row>
    <row r="280" spans="1:11" x14ac:dyDescent="0.25">
      <c r="A280" t="s">
        <v>67</v>
      </c>
      <c r="B280" s="4">
        <v>45902</v>
      </c>
      <c r="C280">
        <v>24</v>
      </c>
      <c r="D280" t="s">
        <v>72</v>
      </c>
      <c r="E280" t="s">
        <v>77</v>
      </c>
      <c r="F280">
        <v>1.097</v>
      </c>
      <c r="G280" t="s">
        <v>135</v>
      </c>
      <c r="H280">
        <v>2.58</v>
      </c>
      <c r="J280" s="2">
        <v>45901</v>
      </c>
      <c r="K280">
        <v>32.909999999999997</v>
      </c>
    </row>
    <row r="281" spans="1:11" x14ac:dyDescent="0.25">
      <c r="A281" t="s">
        <v>67</v>
      </c>
      <c r="B281" s="4">
        <v>45902</v>
      </c>
      <c r="C281">
        <v>24</v>
      </c>
      <c r="D281" t="s">
        <v>72</v>
      </c>
      <c r="E281" t="s">
        <v>77</v>
      </c>
      <c r="F281">
        <v>1.097</v>
      </c>
      <c r="G281" t="s">
        <v>135</v>
      </c>
      <c r="H281">
        <v>2.58</v>
      </c>
      <c r="J281" s="2">
        <v>45931</v>
      </c>
      <c r="K281">
        <v>34.006999999999998</v>
      </c>
    </row>
    <row r="282" spans="1:11" x14ac:dyDescent="0.25">
      <c r="A282" t="s">
        <v>67</v>
      </c>
      <c r="B282" s="4">
        <v>45902</v>
      </c>
      <c r="C282">
        <v>24</v>
      </c>
      <c r="D282" t="s">
        <v>72</v>
      </c>
      <c r="E282" t="s">
        <v>77</v>
      </c>
      <c r="F282">
        <v>1.097</v>
      </c>
      <c r="G282" t="s">
        <v>135</v>
      </c>
      <c r="H282">
        <v>2.58</v>
      </c>
      <c r="J282" s="2">
        <v>45962</v>
      </c>
      <c r="K282">
        <v>32.909999999999997</v>
      </c>
    </row>
    <row r="283" spans="1:11" x14ac:dyDescent="0.25">
      <c r="A283" t="s">
        <v>67</v>
      </c>
      <c r="B283" s="4">
        <v>45902</v>
      </c>
      <c r="C283">
        <v>24</v>
      </c>
      <c r="D283" t="s">
        <v>72</v>
      </c>
      <c r="E283" t="s">
        <v>77</v>
      </c>
      <c r="F283">
        <v>1.097</v>
      </c>
      <c r="G283" t="s">
        <v>135</v>
      </c>
      <c r="H283">
        <v>2.58</v>
      </c>
      <c r="J283" s="2">
        <v>45992</v>
      </c>
      <c r="K283">
        <v>34.006999999999998</v>
      </c>
    </row>
    <row r="284" spans="1:11" x14ac:dyDescent="0.25">
      <c r="A284" t="s">
        <v>56</v>
      </c>
      <c r="B284" s="4">
        <v>45902</v>
      </c>
      <c r="C284">
        <v>24</v>
      </c>
      <c r="D284" t="s">
        <v>72</v>
      </c>
      <c r="E284" t="s">
        <v>77</v>
      </c>
      <c r="F284">
        <v>2.4700000000000002</v>
      </c>
      <c r="G284" t="s">
        <v>124</v>
      </c>
      <c r="H284">
        <v>2.4700000000000002</v>
      </c>
      <c r="J284" s="2">
        <v>45839</v>
      </c>
      <c r="K284">
        <v>76.570000000000007</v>
      </c>
    </row>
    <row r="285" spans="1:11" x14ac:dyDescent="0.25">
      <c r="A285" t="s">
        <v>56</v>
      </c>
      <c r="B285" s="4">
        <v>45902</v>
      </c>
      <c r="C285">
        <v>24</v>
      </c>
      <c r="D285" t="s">
        <v>72</v>
      </c>
      <c r="E285" t="s">
        <v>77</v>
      </c>
      <c r="F285">
        <v>2.4700000000000002</v>
      </c>
      <c r="G285" t="s">
        <v>124</v>
      </c>
      <c r="H285">
        <v>2.4700000000000002</v>
      </c>
      <c r="J285" s="2">
        <v>45870</v>
      </c>
      <c r="K285">
        <v>76.570000000000007</v>
      </c>
    </row>
    <row r="286" spans="1:11" x14ac:dyDescent="0.25">
      <c r="A286" t="s">
        <v>56</v>
      </c>
      <c r="B286" s="4">
        <v>45902</v>
      </c>
      <c r="C286">
        <v>24</v>
      </c>
      <c r="D286" t="s">
        <v>72</v>
      </c>
      <c r="E286" t="s">
        <v>77</v>
      </c>
      <c r="F286">
        <v>2.4700000000000002</v>
      </c>
      <c r="G286" t="s">
        <v>124</v>
      </c>
      <c r="H286">
        <v>2.4700000000000002</v>
      </c>
      <c r="J286" s="2">
        <v>45901</v>
      </c>
      <c r="K286">
        <v>74.100000000000009</v>
      </c>
    </row>
    <row r="287" spans="1:11" x14ac:dyDescent="0.25">
      <c r="A287" t="s">
        <v>56</v>
      </c>
      <c r="B287" s="4">
        <v>45902</v>
      </c>
      <c r="C287">
        <v>24</v>
      </c>
      <c r="D287" t="s">
        <v>72</v>
      </c>
      <c r="E287" t="s">
        <v>77</v>
      </c>
      <c r="F287">
        <v>2.4700000000000002</v>
      </c>
      <c r="G287" t="s">
        <v>124</v>
      </c>
      <c r="H287">
        <v>2.4700000000000002</v>
      </c>
      <c r="J287" s="2">
        <v>45931</v>
      </c>
      <c r="K287">
        <v>76.570000000000007</v>
      </c>
    </row>
    <row r="288" spans="1:11" x14ac:dyDescent="0.25">
      <c r="A288" t="s">
        <v>56</v>
      </c>
      <c r="B288" s="4">
        <v>45902</v>
      </c>
      <c r="C288">
        <v>24</v>
      </c>
      <c r="D288" t="s">
        <v>72</v>
      </c>
      <c r="E288" t="s">
        <v>77</v>
      </c>
      <c r="F288">
        <v>2.4700000000000002</v>
      </c>
      <c r="G288" t="s">
        <v>124</v>
      </c>
      <c r="H288">
        <v>2.4700000000000002</v>
      </c>
      <c r="J288" s="2">
        <v>45962</v>
      </c>
      <c r="K288">
        <v>74.100000000000009</v>
      </c>
    </row>
    <row r="289" spans="1:11" x14ac:dyDescent="0.25">
      <c r="A289" t="s">
        <v>56</v>
      </c>
      <c r="B289" s="4">
        <v>45902</v>
      </c>
      <c r="C289">
        <v>24</v>
      </c>
      <c r="D289" t="s">
        <v>72</v>
      </c>
      <c r="E289" t="s">
        <v>77</v>
      </c>
      <c r="F289">
        <v>2.4700000000000002</v>
      </c>
      <c r="G289" t="s">
        <v>124</v>
      </c>
      <c r="H289">
        <v>2.4700000000000002</v>
      </c>
      <c r="J289" s="2">
        <v>45992</v>
      </c>
      <c r="K289">
        <v>76.570000000000007</v>
      </c>
    </row>
    <row r="290" spans="1:11" x14ac:dyDescent="0.25">
      <c r="A290" t="s">
        <v>57</v>
      </c>
      <c r="B290" s="4">
        <v>45902</v>
      </c>
      <c r="C290">
        <v>24</v>
      </c>
      <c r="D290" t="s">
        <v>72</v>
      </c>
      <c r="E290" t="s">
        <v>77</v>
      </c>
      <c r="F290">
        <v>2.46</v>
      </c>
      <c r="G290" t="s">
        <v>125</v>
      </c>
      <c r="H290">
        <v>2.46</v>
      </c>
      <c r="J290" s="2">
        <v>45839</v>
      </c>
      <c r="K290">
        <v>76.260000000000005</v>
      </c>
    </row>
    <row r="291" spans="1:11" x14ac:dyDescent="0.25">
      <c r="A291" t="s">
        <v>57</v>
      </c>
      <c r="B291" s="4">
        <v>45902</v>
      </c>
      <c r="C291">
        <v>24</v>
      </c>
      <c r="D291" t="s">
        <v>72</v>
      </c>
      <c r="E291" t="s">
        <v>77</v>
      </c>
      <c r="F291">
        <v>2.46</v>
      </c>
      <c r="G291" t="s">
        <v>125</v>
      </c>
      <c r="H291">
        <v>2.46</v>
      </c>
      <c r="J291" s="2">
        <v>45870</v>
      </c>
      <c r="K291">
        <v>76.260000000000005</v>
      </c>
    </row>
    <row r="292" spans="1:11" x14ac:dyDescent="0.25">
      <c r="A292" t="s">
        <v>57</v>
      </c>
      <c r="B292" s="4">
        <v>45902</v>
      </c>
      <c r="C292">
        <v>24</v>
      </c>
      <c r="D292" t="s">
        <v>72</v>
      </c>
      <c r="E292" t="s">
        <v>77</v>
      </c>
      <c r="F292">
        <v>2.46</v>
      </c>
      <c r="G292" t="s">
        <v>125</v>
      </c>
      <c r="H292">
        <v>2.46</v>
      </c>
      <c r="J292" s="2">
        <v>45901</v>
      </c>
      <c r="K292">
        <v>73.8</v>
      </c>
    </row>
    <row r="293" spans="1:11" x14ac:dyDescent="0.25">
      <c r="A293" t="s">
        <v>57</v>
      </c>
      <c r="B293" s="4">
        <v>45902</v>
      </c>
      <c r="C293">
        <v>24</v>
      </c>
      <c r="D293" t="s">
        <v>72</v>
      </c>
      <c r="E293" t="s">
        <v>77</v>
      </c>
      <c r="F293">
        <v>2.46</v>
      </c>
      <c r="G293" t="s">
        <v>125</v>
      </c>
      <c r="H293">
        <v>2.46</v>
      </c>
      <c r="J293" s="2">
        <v>45931</v>
      </c>
      <c r="K293">
        <v>76.260000000000005</v>
      </c>
    </row>
    <row r="294" spans="1:11" x14ac:dyDescent="0.25">
      <c r="A294" t="s">
        <v>57</v>
      </c>
      <c r="B294" s="4">
        <v>45902</v>
      </c>
      <c r="C294">
        <v>24</v>
      </c>
      <c r="D294" t="s">
        <v>72</v>
      </c>
      <c r="E294" t="s">
        <v>77</v>
      </c>
      <c r="F294">
        <v>2.46</v>
      </c>
      <c r="G294" t="s">
        <v>125</v>
      </c>
      <c r="H294">
        <v>2.46</v>
      </c>
      <c r="J294" s="2">
        <v>45962</v>
      </c>
      <c r="K294">
        <v>73.8</v>
      </c>
    </row>
    <row r="295" spans="1:11" x14ac:dyDescent="0.25">
      <c r="A295" t="s">
        <v>57</v>
      </c>
      <c r="B295" s="4">
        <v>45902</v>
      </c>
      <c r="C295">
        <v>24</v>
      </c>
      <c r="D295" t="s">
        <v>72</v>
      </c>
      <c r="E295" t="s">
        <v>77</v>
      </c>
      <c r="F295">
        <v>2.46</v>
      </c>
      <c r="G295" t="s">
        <v>125</v>
      </c>
      <c r="H295">
        <v>2.46</v>
      </c>
      <c r="J295" s="2">
        <v>45992</v>
      </c>
      <c r="K295">
        <v>76.260000000000005</v>
      </c>
    </row>
    <row r="296" spans="1:11" x14ac:dyDescent="0.25">
      <c r="A296" t="s">
        <v>59</v>
      </c>
      <c r="B296" s="4">
        <v>45902</v>
      </c>
      <c r="C296">
        <v>24</v>
      </c>
      <c r="D296" t="s">
        <v>72</v>
      </c>
      <c r="E296" t="s">
        <v>77</v>
      </c>
      <c r="F296">
        <v>2.2000000000000002</v>
      </c>
      <c r="G296" t="s">
        <v>127</v>
      </c>
      <c r="H296">
        <v>2.2000000000000002</v>
      </c>
      <c r="J296" s="2">
        <v>45839</v>
      </c>
      <c r="K296">
        <v>68.2</v>
      </c>
    </row>
    <row r="297" spans="1:11" x14ac:dyDescent="0.25">
      <c r="A297" t="s">
        <v>59</v>
      </c>
      <c r="B297" s="4">
        <v>45902</v>
      </c>
      <c r="C297">
        <v>24</v>
      </c>
      <c r="D297" t="s">
        <v>72</v>
      </c>
      <c r="E297" t="s">
        <v>77</v>
      </c>
      <c r="F297">
        <v>2.2000000000000002</v>
      </c>
      <c r="G297" t="s">
        <v>127</v>
      </c>
      <c r="H297">
        <v>2.2000000000000002</v>
      </c>
      <c r="J297" s="2">
        <v>45870</v>
      </c>
      <c r="K297">
        <v>68.2</v>
      </c>
    </row>
    <row r="298" spans="1:11" x14ac:dyDescent="0.25">
      <c r="A298" t="s">
        <v>59</v>
      </c>
      <c r="B298" s="4">
        <v>45902</v>
      </c>
      <c r="C298">
        <v>24</v>
      </c>
      <c r="D298" t="s">
        <v>72</v>
      </c>
      <c r="E298" t="s">
        <v>77</v>
      </c>
      <c r="F298">
        <v>2.2000000000000002</v>
      </c>
      <c r="G298" t="s">
        <v>127</v>
      </c>
      <c r="H298">
        <v>2.2000000000000002</v>
      </c>
      <c r="J298" s="2">
        <v>45901</v>
      </c>
      <c r="K298">
        <v>66</v>
      </c>
    </row>
    <row r="299" spans="1:11" x14ac:dyDescent="0.25">
      <c r="A299" t="s">
        <v>59</v>
      </c>
      <c r="B299" s="4">
        <v>45902</v>
      </c>
      <c r="C299">
        <v>24</v>
      </c>
      <c r="D299" t="s">
        <v>72</v>
      </c>
      <c r="E299" t="s">
        <v>77</v>
      </c>
      <c r="F299">
        <v>2.2000000000000002</v>
      </c>
      <c r="G299" t="s">
        <v>127</v>
      </c>
      <c r="H299">
        <v>2.2000000000000002</v>
      </c>
      <c r="J299" s="2">
        <v>45931</v>
      </c>
      <c r="K299">
        <v>68.2</v>
      </c>
    </row>
    <row r="300" spans="1:11" x14ac:dyDescent="0.25">
      <c r="A300" t="s">
        <v>59</v>
      </c>
      <c r="B300" s="4">
        <v>45902</v>
      </c>
      <c r="C300">
        <v>24</v>
      </c>
      <c r="D300" t="s">
        <v>72</v>
      </c>
      <c r="E300" t="s">
        <v>77</v>
      </c>
      <c r="F300">
        <v>2.2000000000000002</v>
      </c>
      <c r="G300" t="s">
        <v>127</v>
      </c>
      <c r="H300">
        <v>2.2000000000000002</v>
      </c>
      <c r="J300" s="2">
        <v>45962</v>
      </c>
      <c r="K300">
        <v>66</v>
      </c>
    </row>
    <row r="301" spans="1:11" x14ac:dyDescent="0.25">
      <c r="A301" t="s">
        <v>59</v>
      </c>
      <c r="B301" s="4">
        <v>45902</v>
      </c>
      <c r="C301">
        <v>24</v>
      </c>
      <c r="D301" t="s">
        <v>72</v>
      </c>
      <c r="E301" t="s">
        <v>77</v>
      </c>
      <c r="F301">
        <v>2.2000000000000002</v>
      </c>
      <c r="G301" t="s">
        <v>127</v>
      </c>
      <c r="H301">
        <v>2.2000000000000002</v>
      </c>
      <c r="J301" s="2">
        <v>45992</v>
      </c>
      <c r="K301">
        <v>68.2</v>
      </c>
    </row>
    <row r="302" spans="1:11" x14ac:dyDescent="0.25">
      <c r="A302" t="s">
        <v>60</v>
      </c>
      <c r="B302" s="4">
        <v>45902</v>
      </c>
      <c r="C302">
        <v>24</v>
      </c>
      <c r="D302" t="s">
        <v>76</v>
      </c>
      <c r="E302" t="s">
        <v>78</v>
      </c>
      <c r="F302">
        <v>2.13</v>
      </c>
      <c r="G302" t="s">
        <v>128</v>
      </c>
      <c r="H302">
        <v>2.13</v>
      </c>
      <c r="J302" s="2">
        <v>45839</v>
      </c>
      <c r="K302">
        <v>66.03</v>
      </c>
    </row>
    <row r="303" spans="1:11" x14ac:dyDescent="0.25">
      <c r="A303" t="s">
        <v>60</v>
      </c>
      <c r="B303" s="4">
        <v>45902</v>
      </c>
      <c r="C303">
        <v>24</v>
      </c>
      <c r="D303" t="s">
        <v>76</v>
      </c>
      <c r="E303" t="s">
        <v>78</v>
      </c>
      <c r="F303">
        <v>2.13</v>
      </c>
      <c r="G303" t="s">
        <v>128</v>
      </c>
      <c r="H303">
        <v>2.13</v>
      </c>
      <c r="J303" s="2">
        <v>45870</v>
      </c>
      <c r="K303">
        <v>66.03</v>
      </c>
    </row>
    <row r="304" spans="1:11" x14ac:dyDescent="0.25">
      <c r="A304" t="s">
        <v>60</v>
      </c>
      <c r="B304" s="4">
        <v>45902</v>
      </c>
      <c r="C304">
        <v>24</v>
      </c>
      <c r="D304" t="s">
        <v>76</v>
      </c>
      <c r="E304" t="s">
        <v>78</v>
      </c>
      <c r="F304">
        <v>2.13</v>
      </c>
      <c r="G304" t="s">
        <v>128</v>
      </c>
      <c r="H304">
        <v>2.13</v>
      </c>
      <c r="J304" s="2">
        <v>45901</v>
      </c>
      <c r="K304">
        <v>63.9</v>
      </c>
    </row>
    <row r="305" spans="1:11" x14ac:dyDescent="0.25">
      <c r="A305" t="s">
        <v>60</v>
      </c>
      <c r="B305" s="4">
        <v>45902</v>
      </c>
      <c r="C305">
        <v>24</v>
      </c>
      <c r="D305" t="s">
        <v>76</v>
      </c>
      <c r="E305" t="s">
        <v>78</v>
      </c>
      <c r="F305">
        <v>2.13</v>
      </c>
      <c r="G305" t="s">
        <v>128</v>
      </c>
      <c r="H305">
        <v>2.13</v>
      </c>
      <c r="J305" s="2">
        <v>45931</v>
      </c>
      <c r="K305">
        <v>66.03</v>
      </c>
    </row>
    <row r="306" spans="1:11" x14ac:dyDescent="0.25">
      <c r="A306" t="s">
        <v>60</v>
      </c>
      <c r="B306" s="4">
        <v>45902</v>
      </c>
      <c r="C306">
        <v>24</v>
      </c>
      <c r="D306" t="s">
        <v>76</v>
      </c>
      <c r="E306" t="s">
        <v>78</v>
      </c>
      <c r="F306">
        <v>2.13</v>
      </c>
      <c r="G306" t="s">
        <v>128</v>
      </c>
      <c r="H306">
        <v>2.13</v>
      </c>
      <c r="J306" s="2">
        <v>45962</v>
      </c>
      <c r="K306">
        <v>63.9</v>
      </c>
    </row>
    <row r="307" spans="1:11" x14ac:dyDescent="0.25">
      <c r="A307" t="s">
        <v>60</v>
      </c>
      <c r="B307" s="4">
        <v>45902</v>
      </c>
      <c r="C307">
        <v>24</v>
      </c>
      <c r="D307" t="s">
        <v>76</v>
      </c>
      <c r="E307" t="s">
        <v>78</v>
      </c>
      <c r="F307">
        <v>2.13</v>
      </c>
      <c r="G307" t="s">
        <v>128</v>
      </c>
      <c r="H307">
        <v>2.13</v>
      </c>
      <c r="J307" s="2">
        <v>45992</v>
      </c>
      <c r="K307">
        <v>66.03</v>
      </c>
    </row>
    <row r="308" spans="1:11" x14ac:dyDescent="0.25">
      <c r="A308" t="s">
        <v>61</v>
      </c>
      <c r="B308" s="4">
        <v>45902</v>
      </c>
      <c r="C308">
        <v>24</v>
      </c>
      <c r="D308" t="s">
        <v>74</v>
      </c>
      <c r="E308" t="s">
        <v>77</v>
      </c>
      <c r="F308">
        <v>2.1</v>
      </c>
      <c r="G308" t="s">
        <v>129</v>
      </c>
      <c r="H308">
        <v>2.1</v>
      </c>
      <c r="J308" s="2">
        <v>45839</v>
      </c>
      <c r="K308">
        <v>65.100000000000009</v>
      </c>
    </row>
    <row r="309" spans="1:11" x14ac:dyDescent="0.25">
      <c r="A309" t="s">
        <v>61</v>
      </c>
      <c r="B309" s="4">
        <v>45902</v>
      </c>
      <c r="C309">
        <v>24</v>
      </c>
      <c r="D309" t="s">
        <v>74</v>
      </c>
      <c r="E309" t="s">
        <v>77</v>
      </c>
      <c r="F309">
        <v>2.1</v>
      </c>
      <c r="G309" t="s">
        <v>129</v>
      </c>
      <c r="H309">
        <v>2.1</v>
      </c>
      <c r="J309" s="2">
        <v>45870</v>
      </c>
      <c r="K309">
        <v>65.100000000000009</v>
      </c>
    </row>
    <row r="310" spans="1:11" x14ac:dyDescent="0.25">
      <c r="A310" t="s">
        <v>61</v>
      </c>
      <c r="B310" s="4">
        <v>45902</v>
      </c>
      <c r="C310">
        <v>24</v>
      </c>
      <c r="D310" t="s">
        <v>74</v>
      </c>
      <c r="E310" t="s">
        <v>77</v>
      </c>
      <c r="F310">
        <v>2.1</v>
      </c>
      <c r="G310" t="s">
        <v>129</v>
      </c>
      <c r="H310">
        <v>2.1</v>
      </c>
      <c r="J310" s="2">
        <v>45901</v>
      </c>
      <c r="K310">
        <v>63</v>
      </c>
    </row>
    <row r="311" spans="1:11" x14ac:dyDescent="0.25">
      <c r="A311" t="s">
        <v>61</v>
      </c>
      <c r="B311" s="4">
        <v>45902</v>
      </c>
      <c r="C311">
        <v>24</v>
      </c>
      <c r="D311" t="s">
        <v>74</v>
      </c>
      <c r="E311" t="s">
        <v>77</v>
      </c>
      <c r="F311">
        <v>2.1</v>
      </c>
      <c r="G311" t="s">
        <v>129</v>
      </c>
      <c r="H311">
        <v>2.1</v>
      </c>
      <c r="J311" s="2">
        <v>45931</v>
      </c>
      <c r="K311">
        <v>65.100000000000009</v>
      </c>
    </row>
    <row r="312" spans="1:11" x14ac:dyDescent="0.25">
      <c r="A312" t="s">
        <v>61</v>
      </c>
      <c r="B312" s="4">
        <v>45902</v>
      </c>
      <c r="C312">
        <v>24</v>
      </c>
      <c r="D312" t="s">
        <v>74</v>
      </c>
      <c r="E312" t="s">
        <v>77</v>
      </c>
      <c r="F312">
        <v>2.1</v>
      </c>
      <c r="G312" t="s">
        <v>129</v>
      </c>
      <c r="H312">
        <v>2.1</v>
      </c>
      <c r="J312" s="2">
        <v>45962</v>
      </c>
      <c r="K312">
        <v>63</v>
      </c>
    </row>
    <row r="313" spans="1:11" x14ac:dyDescent="0.25">
      <c r="A313" t="s">
        <v>61</v>
      </c>
      <c r="B313" s="4">
        <v>45902</v>
      </c>
      <c r="C313">
        <v>24</v>
      </c>
      <c r="D313" t="s">
        <v>74</v>
      </c>
      <c r="E313" t="s">
        <v>77</v>
      </c>
      <c r="F313">
        <v>2.1</v>
      </c>
      <c r="G313" t="s">
        <v>129</v>
      </c>
      <c r="H313">
        <v>2.1</v>
      </c>
      <c r="J313" s="2">
        <v>45992</v>
      </c>
      <c r="K313">
        <v>65.100000000000009</v>
      </c>
    </row>
    <row r="314" spans="1:11" x14ac:dyDescent="0.25">
      <c r="A314" t="s">
        <v>58</v>
      </c>
      <c r="B314" s="4">
        <v>45902</v>
      </c>
      <c r="C314">
        <v>24</v>
      </c>
      <c r="D314" t="s">
        <v>74</v>
      </c>
      <c r="E314" t="s">
        <v>77</v>
      </c>
      <c r="F314">
        <v>2.21</v>
      </c>
      <c r="G314" t="s">
        <v>126</v>
      </c>
      <c r="H314">
        <v>2.0099999999999998</v>
      </c>
      <c r="J314" s="2">
        <v>45839</v>
      </c>
      <c r="K314">
        <v>68.510000000000005</v>
      </c>
    </row>
    <row r="315" spans="1:11" x14ac:dyDescent="0.25">
      <c r="A315" t="s">
        <v>58</v>
      </c>
      <c r="B315" s="4">
        <v>45902</v>
      </c>
      <c r="C315">
        <v>24</v>
      </c>
      <c r="D315" t="s">
        <v>74</v>
      </c>
      <c r="E315" t="s">
        <v>77</v>
      </c>
      <c r="F315">
        <v>2.21</v>
      </c>
      <c r="G315" t="s">
        <v>126</v>
      </c>
      <c r="H315">
        <v>2.0099999999999998</v>
      </c>
      <c r="J315" s="2">
        <v>45870</v>
      </c>
      <c r="K315">
        <v>68.510000000000005</v>
      </c>
    </row>
    <row r="316" spans="1:11" x14ac:dyDescent="0.25">
      <c r="A316" t="s">
        <v>58</v>
      </c>
      <c r="B316" s="4">
        <v>45902</v>
      </c>
      <c r="C316">
        <v>24</v>
      </c>
      <c r="D316" t="s">
        <v>74</v>
      </c>
      <c r="E316" t="s">
        <v>77</v>
      </c>
      <c r="F316">
        <v>2.21</v>
      </c>
      <c r="G316" t="s">
        <v>126</v>
      </c>
      <c r="H316">
        <v>2.0099999999999998</v>
      </c>
      <c r="J316" s="2">
        <v>45901</v>
      </c>
      <c r="K316">
        <v>66.3</v>
      </c>
    </row>
    <row r="317" spans="1:11" x14ac:dyDescent="0.25">
      <c r="A317" t="s">
        <v>58</v>
      </c>
      <c r="B317" s="4">
        <v>45902</v>
      </c>
      <c r="C317">
        <v>24</v>
      </c>
      <c r="D317" t="s">
        <v>74</v>
      </c>
      <c r="E317" t="s">
        <v>77</v>
      </c>
      <c r="F317">
        <v>2.21</v>
      </c>
      <c r="G317" t="s">
        <v>126</v>
      </c>
      <c r="H317">
        <v>2.0099999999999998</v>
      </c>
      <c r="J317" s="2">
        <v>45931</v>
      </c>
      <c r="K317">
        <v>68.510000000000005</v>
      </c>
    </row>
    <row r="318" spans="1:11" x14ac:dyDescent="0.25">
      <c r="A318" t="s">
        <v>58</v>
      </c>
      <c r="B318" s="4">
        <v>45902</v>
      </c>
      <c r="C318">
        <v>24</v>
      </c>
      <c r="D318" t="s">
        <v>74</v>
      </c>
      <c r="E318" t="s">
        <v>77</v>
      </c>
      <c r="F318">
        <v>2.21</v>
      </c>
      <c r="G318" t="s">
        <v>126</v>
      </c>
      <c r="H318">
        <v>2.0099999999999998</v>
      </c>
      <c r="J318" s="2">
        <v>45962</v>
      </c>
      <c r="K318">
        <v>66.3</v>
      </c>
    </row>
    <row r="319" spans="1:11" x14ac:dyDescent="0.25">
      <c r="A319" t="s">
        <v>58</v>
      </c>
      <c r="B319" s="4">
        <v>45902</v>
      </c>
      <c r="C319">
        <v>24</v>
      </c>
      <c r="D319" t="s">
        <v>74</v>
      </c>
      <c r="E319" t="s">
        <v>77</v>
      </c>
      <c r="F319">
        <v>2.21</v>
      </c>
      <c r="G319" t="s">
        <v>126</v>
      </c>
      <c r="H319">
        <v>2.0099999999999998</v>
      </c>
      <c r="J319" s="2">
        <v>45992</v>
      </c>
      <c r="K319">
        <v>68.510000000000005</v>
      </c>
    </row>
    <row r="320" spans="1:11" x14ac:dyDescent="0.25">
      <c r="A320" t="s">
        <v>63</v>
      </c>
      <c r="B320" s="4">
        <v>45902</v>
      </c>
      <c r="C320">
        <v>24</v>
      </c>
      <c r="D320" t="s">
        <v>72</v>
      </c>
      <c r="E320" t="s">
        <v>77</v>
      </c>
      <c r="F320">
        <v>1.66</v>
      </c>
      <c r="G320" t="s">
        <v>131</v>
      </c>
      <c r="H320">
        <v>1.66</v>
      </c>
      <c r="J320" s="2">
        <v>45839</v>
      </c>
      <c r="K320">
        <v>51.46</v>
      </c>
    </row>
    <row r="321" spans="1:11" x14ac:dyDescent="0.25">
      <c r="A321" t="s">
        <v>63</v>
      </c>
      <c r="B321" s="4">
        <v>45902</v>
      </c>
      <c r="C321">
        <v>24</v>
      </c>
      <c r="D321" t="s">
        <v>72</v>
      </c>
      <c r="E321" t="s">
        <v>77</v>
      </c>
      <c r="F321">
        <v>1.66</v>
      </c>
      <c r="G321" t="s">
        <v>131</v>
      </c>
      <c r="H321">
        <v>1.66</v>
      </c>
      <c r="J321" s="2">
        <v>45870</v>
      </c>
      <c r="K321">
        <v>51.46</v>
      </c>
    </row>
    <row r="322" spans="1:11" x14ac:dyDescent="0.25">
      <c r="A322" t="s">
        <v>63</v>
      </c>
      <c r="B322" s="4">
        <v>45902</v>
      </c>
      <c r="C322">
        <v>24</v>
      </c>
      <c r="D322" t="s">
        <v>72</v>
      </c>
      <c r="E322" t="s">
        <v>77</v>
      </c>
      <c r="F322">
        <v>1.66</v>
      </c>
      <c r="G322" t="s">
        <v>131</v>
      </c>
      <c r="H322">
        <v>1.66</v>
      </c>
      <c r="J322" s="2">
        <v>45901</v>
      </c>
      <c r="K322">
        <v>49.8</v>
      </c>
    </row>
    <row r="323" spans="1:11" x14ac:dyDescent="0.25">
      <c r="A323" t="s">
        <v>63</v>
      </c>
      <c r="B323" s="4">
        <v>45902</v>
      </c>
      <c r="C323">
        <v>24</v>
      </c>
      <c r="D323" t="s">
        <v>72</v>
      </c>
      <c r="E323" t="s">
        <v>77</v>
      </c>
      <c r="F323">
        <v>1.66</v>
      </c>
      <c r="G323" t="s">
        <v>131</v>
      </c>
      <c r="H323">
        <v>1.66</v>
      </c>
      <c r="J323" s="2">
        <v>45931</v>
      </c>
      <c r="K323">
        <v>51.46</v>
      </c>
    </row>
    <row r="324" spans="1:11" x14ac:dyDescent="0.25">
      <c r="A324" t="s">
        <v>63</v>
      </c>
      <c r="B324" s="4">
        <v>45902</v>
      </c>
      <c r="C324">
        <v>24</v>
      </c>
      <c r="D324" t="s">
        <v>72</v>
      </c>
      <c r="E324" t="s">
        <v>77</v>
      </c>
      <c r="F324">
        <v>1.66</v>
      </c>
      <c r="G324" t="s">
        <v>131</v>
      </c>
      <c r="H324">
        <v>1.66</v>
      </c>
      <c r="J324" s="2">
        <v>45962</v>
      </c>
      <c r="K324">
        <v>49.8</v>
      </c>
    </row>
    <row r="325" spans="1:11" x14ac:dyDescent="0.25">
      <c r="A325" t="s">
        <v>63</v>
      </c>
      <c r="B325" s="4">
        <v>45902</v>
      </c>
      <c r="C325">
        <v>24</v>
      </c>
      <c r="D325" t="s">
        <v>72</v>
      </c>
      <c r="E325" t="s">
        <v>77</v>
      </c>
      <c r="F325">
        <v>1.66</v>
      </c>
      <c r="G325" t="s">
        <v>131</v>
      </c>
      <c r="H325">
        <v>1.66</v>
      </c>
      <c r="J325" s="2">
        <v>45992</v>
      </c>
      <c r="K325">
        <v>51.46</v>
      </c>
    </row>
    <row r="326" spans="1:11" x14ac:dyDescent="0.25">
      <c r="A326" t="s">
        <v>64</v>
      </c>
      <c r="B326" s="4">
        <v>45902</v>
      </c>
      <c r="C326">
        <v>24</v>
      </c>
      <c r="D326" t="s">
        <v>76</v>
      </c>
      <c r="E326" t="s">
        <v>78</v>
      </c>
      <c r="F326">
        <v>1.56</v>
      </c>
      <c r="G326" t="s">
        <v>132</v>
      </c>
      <c r="H326">
        <v>1.56</v>
      </c>
      <c r="J326" s="2">
        <v>45839</v>
      </c>
      <c r="K326">
        <v>48.36</v>
      </c>
    </row>
    <row r="327" spans="1:11" x14ac:dyDescent="0.25">
      <c r="A327" t="s">
        <v>64</v>
      </c>
      <c r="B327" s="4">
        <v>45902</v>
      </c>
      <c r="C327">
        <v>24</v>
      </c>
      <c r="D327" t="s">
        <v>76</v>
      </c>
      <c r="E327" t="s">
        <v>78</v>
      </c>
      <c r="F327">
        <v>1.56</v>
      </c>
      <c r="G327" t="s">
        <v>132</v>
      </c>
      <c r="H327">
        <v>1.56</v>
      </c>
      <c r="J327" s="2">
        <v>45870</v>
      </c>
      <c r="K327">
        <v>48.36</v>
      </c>
    </row>
    <row r="328" spans="1:11" x14ac:dyDescent="0.25">
      <c r="A328" t="s">
        <v>64</v>
      </c>
      <c r="B328" s="4">
        <v>45902</v>
      </c>
      <c r="C328">
        <v>24</v>
      </c>
      <c r="D328" t="s">
        <v>76</v>
      </c>
      <c r="E328" t="s">
        <v>78</v>
      </c>
      <c r="F328">
        <v>1.56</v>
      </c>
      <c r="G328" t="s">
        <v>132</v>
      </c>
      <c r="H328">
        <v>1.56</v>
      </c>
      <c r="J328" s="2">
        <v>45901</v>
      </c>
      <c r="K328">
        <v>46.8</v>
      </c>
    </row>
    <row r="329" spans="1:11" x14ac:dyDescent="0.25">
      <c r="A329" t="s">
        <v>64</v>
      </c>
      <c r="B329" s="4">
        <v>45902</v>
      </c>
      <c r="C329">
        <v>24</v>
      </c>
      <c r="D329" t="s">
        <v>76</v>
      </c>
      <c r="E329" t="s">
        <v>78</v>
      </c>
      <c r="F329">
        <v>1.56</v>
      </c>
      <c r="G329" t="s">
        <v>132</v>
      </c>
      <c r="H329">
        <v>1.56</v>
      </c>
      <c r="J329" s="2">
        <v>45931</v>
      </c>
      <c r="K329">
        <v>48.36</v>
      </c>
    </row>
    <row r="330" spans="1:11" x14ac:dyDescent="0.25">
      <c r="A330" t="s">
        <v>64</v>
      </c>
      <c r="B330" s="4">
        <v>45902</v>
      </c>
      <c r="C330">
        <v>24</v>
      </c>
      <c r="D330" t="s">
        <v>76</v>
      </c>
      <c r="E330" t="s">
        <v>78</v>
      </c>
      <c r="F330">
        <v>1.56</v>
      </c>
      <c r="G330" t="s">
        <v>132</v>
      </c>
      <c r="H330">
        <v>1.56</v>
      </c>
      <c r="J330" s="2">
        <v>45962</v>
      </c>
      <c r="K330">
        <v>46.8</v>
      </c>
    </row>
    <row r="331" spans="1:11" x14ac:dyDescent="0.25">
      <c r="A331" t="s">
        <v>64</v>
      </c>
      <c r="B331" s="4">
        <v>45902</v>
      </c>
      <c r="C331">
        <v>24</v>
      </c>
      <c r="D331" t="s">
        <v>76</v>
      </c>
      <c r="E331" t="s">
        <v>78</v>
      </c>
      <c r="F331">
        <v>1.56</v>
      </c>
      <c r="G331" t="s">
        <v>132</v>
      </c>
      <c r="H331">
        <v>1.56</v>
      </c>
      <c r="J331" s="2">
        <v>45992</v>
      </c>
      <c r="K331">
        <v>48.36</v>
      </c>
    </row>
    <row r="332" spans="1:11" x14ac:dyDescent="0.25">
      <c r="A332" t="s">
        <v>65</v>
      </c>
      <c r="B332" s="4">
        <v>45902</v>
      </c>
      <c r="C332">
        <v>24</v>
      </c>
      <c r="D332" t="s">
        <v>76</v>
      </c>
      <c r="E332" t="s">
        <v>78</v>
      </c>
      <c r="F332">
        <v>1.49</v>
      </c>
      <c r="G332" t="s">
        <v>133</v>
      </c>
      <c r="H332">
        <v>1.49</v>
      </c>
      <c r="J332" s="2">
        <v>45839</v>
      </c>
      <c r="K332">
        <v>46.19</v>
      </c>
    </row>
    <row r="333" spans="1:11" x14ac:dyDescent="0.25">
      <c r="A333" t="s">
        <v>65</v>
      </c>
      <c r="B333" s="4">
        <v>45902</v>
      </c>
      <c r="C333">
        <v>24</v>
      </c>
      <c r="D333" t="s">
        <v>76</v>
      </c>
      <c r="E333" t="s">
        <v>78</v>
      </c>
      <c r="F333">
        <v>1.49</v>
      </c>
      <c r="G333" t="s">
        <v>133</v>
      </c>
      <c r="H333">
        <v>1.49</v>
      </c>
      <c r="J333" s="2">
        <v>45870</v>
      </c>
      <c r="K333">
        <v>46.19</v>
      </c>
    </row>
    <row r="334" spans="1:11" x14ac:dyDescent="0.25">
      <c r="A334" t="s">
        <v>65</v>
      </c>
      <c r="B334" s="4">
        <v>45902</v>
      </c>
      <c r="C334">
        <v>24</v>
      </c>
      <c r="D334" t="s">
        <v>76</v>
      </c>
      <c r="E334" t="s">
        <v>78</v>
      </c>
      <c r="F334">
        <v>1.49</v>
      </c>
      <c r="G334" t="s">
        <v>133</v>
      </c>
      <c r="H334">
        <v>1.49</v>
      </c>
      <c r="J334" s="2">
        <v>45901</v>
      </c>
      <c r="K334">
        <v>44.7</v>
      </c>
    </row>
    <row r="335" spans="1:11" x14ac:dyDescent="0.25">
      <c r="A335" t="s">
        <v>65</v>
      </c>
      <c r="B335" s="4">
        <v>45902</v>
      </c>
      <c r="C335">
        <v>24</v>
      </c>
      <c r="D335" t="s">
        <v>76</v>
      </c>
      <c r="E335" t="s">
        <v>78</v>
      </c>
      <c r="F335">
        <v>1.49</v>
      </c>
      <c r="G335" t="s">
        <v>133</v>
      </c>
      <c r="H335">
        <v>1.49</v>
      </c>
      <c r="J335" s="2">
        <v>45931</v>
      </c>
      <c r="K335">
        <v>46.19</v>
      </c>
    </row>
    <row r="336" spans="1:11" x14ac:dyDescent="0.25">
      <c r="A336" t="s">
        <v>65</v>
      </c>
      <c r="B336" s="4">
        <v>45902</v>
      </c>
      <c r="C336">
        <v>24</v>
      </c>
      <c r="D336" t="s">
        <v>76</v>
      </c>
      <c r="E336" t="s">
        <v>78</v>
      </c>
      <c r="F336">
        <v>1.49</v>
      </c>
      <c r="G336" t="s">
        <v>133</v>
      </c>
      <c r="H336">
        <v>1.49</v>
      </c>
      <c r="J336" s="2">
        <v>45962</v>
      </c>
      <c r="K336">
        <v>44.7</v>
      </c>
    </row>
    <row r="337" spans="1:11" x14ac:dyDescent="0.25">
      <c r="A337" t="s">
        <v>65</v>
      </c>
      <c r="B337" s="4">
        <v>45902</v>
      </c>
      <c r="C337">
        <v>24</v>
      </c>
      <c r="D337" t="s">
        <v>76</v>
      </c>
      <c r="E337" t="s">
        <v>78</v>
      </c>
      <c r="F337">
        <v>1.49</v>
      </c>
      <c r="G337" t="s">
        <v>133</v>
      </c>
      <c r="H337">
        <v>1.49</v>
      </c>
      <c r="J337" s="2">
        <v>45992</v>
      </c>
      <c r="K337">
        <v>46.19</v>
      </c>
    </row>
    <row r="338" spans="1:11" x14ac:dyDescent="0.25">
      <c r="A338" t="s">
        <v>66</v>
      </c>
      <c r="B338" s="4">
        <v>45902</v>
      </c>
      <c r="C338">
        <v>24</v>
      </c>
      <c r="D338" t="s">
        <v>72</v>
      </c>
      <c r="E338" t="s">
        <v>77</v>
      </c>
      <c r="F338">
        <v>1.1200000000000001</v>
      </c>
      <c r="G338" t="s">
        <v>134</v>
      </c>
      <c r="H338">
        <v>1.1200000000000001</v>
      </c>
      <c r="J338" s="2">
        <v>45839</v>
      </c>
      <c r="K338">
        <v>34.720000000000013</v>
      </c>
    </row>
    <row r="339" spans="1:11" x14ac:dyDescent="0.25">
      <c r="A339" t="s">
        <v>66</v>
      </c>
      <c r="B339" s="4">
        <v>45902</v>
      </c>
      <c r="C339">
        <v>24</v>
      </c>
      <c r="D339" t="s">
        <v>72</v>
      </c>
      <c r="E339" t="s">
        <v>77</v>
      </c>
      <c r="F339">
        <v>1.1200000000000001</v>
      </c>
      <c r="G339" t="s">
        <v>134</v>
      </c>
      <c r="H339">
        <v>1.1200000000000001</v>
      </c>
      <c r="J339" s="2">
        <v>45870</v>
      </c>
      <c r="K339">
        <v>34.720000000000013</v>
      </c>
    </row>
    <row r="340" spans="1:11" x14ac:dyDescent="0.25">
      <c r="A340" t="s">
        <v>66</v>
      </c>
      <c r="B340" s="4">
        <v>45902</v>
      </c>
      <c r="C340">
        <v>24</v>
      </c>
      <c r="D340" t="s">
        <v>72</v>
      </c>
      <c r="E340" t="s">
        <v>77</v>
      </c>
      <c r="F340">
        <v>1.1200000000000001</v>
      </c>
      <c r="G340" t="s">
        <v>134</v>
      </c>
      <c r="H340">
        <v>1.1200000000000001</v>
      </c>
      <c r="J340" s="2">
        <v>45901</v>
      </c>
      <c r="K340">
        <v>33.6</v>
      </c>
    </row>
    <row r="341" spans="1:11" x14ac:dyDescent="0.25">
      <c r="A341" t="s">
        <v>66</v>
      </c>
      <c r="B341" s="4">
        <v>45902</v>
      </c>
      <c r="C341">
        <v>24</v>
      </c>
      <c r="D341" t="s">
        <v>72</v>
      </c>
      <c r="E341" t="s">
        <v>77</v>
      </c>
      <c r="F341">
        <v>1.1200000000000001</v>
      </c>
      <c r="G341" t="s">
        <v>134</v>
      </c>
      <c r="H341">
        <v>1.1200000000000001</v>
      </c>
      <c r="J341" s="2">
        <v>45931</v>
      </c>
      <c r="K341">
        <v>34.720000000000013</v>
      </c>
    </row>
    <row r="342" spans="1:11" x14ac:dyDescent="0.25">
      <c r="A342" t="s">
        <v>66</v>
      </c>
      <c r="B342" s="4">
        <v>45902</v>
      </c>
      <c r="C342">
        <v>24</v>
      </c>
      <c r="D342" t="s">
        <v>72</v>
      </c>
      <c r="E342" t="s">
        <v>77</v>
      </c>
      <c r="F342">
        <v>1.1200000000000001</v>
      </c>
      <c r="G342" t="s">
        <v>134</v>
      </c>
      <c r="H342">
        <v>1.1200000000000001</v>
      </c>
      <c r="J342" s="2">
        <v>45962</v>
      </c>
      <c r="K342">
        <v>33.6</v>
      </c>
    </row>
    <row r="343" spans="1:11" x14ac:dyDescent="0.25">
      <c r="A343" t="s">
        <v>66</v>
      </c>
      <c r="B343" s="4">
        <v>45902</v>
      </c>
      <c r="C343">
        <v>24</v>
      </c>
      <c r="D343" t="s">
        <v>72</v>
      </c>
      <c r="E343" t="s">
        <v>77</v>
      </c>
      <c r="F343">
        <v>1.1200000000000001</v>
      </c>
      <c r="G343" t="s">
        <v>134</v>
      </c>
      <c r="H343">
        <v>1.1200000000000001</v>
      </c>
      <c r="J343" s="2">
        <v>45992</v>
      </c>
      <c r="K343">
        <v>34.720000000000013</v>
      </c>
    </row>
    <row r="344" spans="1:11" x14ac:dyDescent="0.25">
      <c r="A344" t="s">
        <v>68</v>
      </c>
      <c r="B344" s="4">
        <v>45902</v>
      </c>
      <c r="C344">
        <v>24</v>
      </c>
      <c r="D344" t="s">
        <v>76</v>
      </c>
      <c r="E344" t="s">
        <v>78</v>
      </c>
      <c r="F344">
        <v>1.08</v>
      </c>
      <c r="G344" t="s">
        <v>136</v>
      </c>
      <c r="H344">
        <v>1.08</v>
      </c>
      <c r="J344" s="2">
        <v>45839</v>
      </c>
      <c r="K344">
        <v>33.479999999999997</v>
      </c>
    </row>
    <row r="345" spans="1:11" x14ac:dyDescent="0.25">
      <c r="A345" t="s">
        <v>68</v>
      </c>
      <c r="B345" s="4">
        <v>45902</v>
      </c>
      <c r="C345">
        <v>24</v>
      </c>
      <c r="D345" t="s">
        <v>76</v>
      </c>
      <c r="E345" t="s">
        <v>78</v>
      </c>
      <c r="F345">
        <v>1.08</v>
      </c>
      <c r="G345" t="s">
        <v>136</v>
      </c>
      <c r="H345">
        <v>1.08</v>
      </c>
      <c r="J345" s="2">
        <v>45870</v>
      </c>
      <c r="K345">
        <v>33.479999999999997</v>
      </c>
    </row>
    <row r="346" spans="1:11" x14ac:dyDescent="0.25">
      <c r="A346" t="s">
        <v>68</v>
      </c>
      <c r="B346" s="4">
        <v>45902</v>
      </c>
      <c r="C346">
        <v>24</v>
      </c>
      <c r="D346" t="s">
        <v>76</v>
      </c>
      <c r="E346" t="s">
        <v>78</v>
      </c>
      <c r="F346">
        <v>1.08</v>
      </c>
      <c r="G346" t="s">
        <v>136</v>
      </c>
      <c r="H346">
        <v>1.08</v>
      </c>
      <c r="J346" s="2">
        <v>45901</v>
      </c>
      <c r="K346">
        <v>32.400000000000013</v>
      </c>
    </row>
    <row r="347" spans="1:11" x14ac:dyDescent="0.25">
      <c r="A347" t="s">
        <v>68</v>
      </c>
      <c r="B347" s="4">
        <v>45902</v>
      </c>
      <c r="C347">
        <v>24</v>
      </c>
      <c r="D347" t="s">
        <v>76</v>
      </c>
      <c r="E347" t="s">
        <v>78</v>
      </c>
      <c r="F347">
        <v>1.08</v>
      </c>
      <c r="G347" t="s">
        <v>136</v>
      </c>
      <c r="H347">
        <v>1.08</v>
      </c>
      <c r="J347" s="2">
        <v>45931</v>
      </c>
      <c r="K347">
        <v>33.479999999999997</v>
      </c>
    </row>
    <row r="348" spans="1:11" x14ac:dyDescent="0.25">
      <c r="A348" t="s">
        <v>68</v>
      </c>
      <c r="B348" s="4">
        <v>45902</v>
      </c>
      <c r="C348">
        <v>24</v>
      </c>
      <c r="D348" t="s">
        <v>76</v>
      </c>
      <c r="E348" t="s">
        <v>78</v>
      </c>
      <c r="F348">
        <v>1.08</v>
      </c>
      <c r="G348" t="s">
        <v>136</v>
      </c>
      <c r="H348">
        <v>1.08</v>
      </c>
      <c r="J348" s="2">
        <v>45962</v>
      </c>
      <c r="K348">
        <v>32.400000000000013</v>
      </c>
    </row>
    <row r="349" spans="1:11" x14ac:dyDescent="0.25">
      <c r="A349" t="s">
        <v>68</v>
      </c>
      <c r="B349" s="4">
        <v>45902</v>
      </c>
      <c r="C349">
        <v>24</v>
      </c>
      <c r="D349" t="s">
        <v>76</v>
      </c>
      <c r="E349" t="s">
        <v>78</v>
      </c>
      <c r="F349">
        <v>1.08</v>
      </c>
      <c r="G349" t="s">
        <v>136</v>
      </c>
      <c r="H349">
        <v>1.08</v>
      </c>
      <c r="J349" s="2">
        <v>45992</v>
      </c>
      <c r="K349">
        <v>33.479999999999997</v>
      </c>
    </row>
    <row r="350" spans="1:11" x14ac:dyDescent="0.25">
      <c r="A350" t="s">
        <v>69</v>
      </c>
      <c r="B350" s="4">
        <v>45902</v>
      </c>
      <c r="C350">
        <v>24</v>
      </c>
      <c r="D350" t="s">
        <v>76</v>
      </c>
      <c r="E350" t="s">
        <v>78</v>
      </c>
      <c r="F350">
        <v>1.06</v>
      </c>
      <c r="G350" t="s">
        <v>137</v>
      </c>
      <c r="H350">
        <v>1.06</v>
      </c>
      <c r="J350" s="2">
        <v>45839</v>
      </c>
      <c r="K350">
        <v>32.86</v>
      </c>
    </row>
    <row r="351" spans="1:11" x14ac:dyDescent="0.25">
      <c r="A351" t="s">
        <v>69</v>
      </c>
      <c r="B351" s="4">
        <v>45902</v>
      </c>
      <c r="C351">
        <v>24</v>
      </c>
      <c r="D351" t="s">
        <v>76</v>
      </c>
      <c r="E351" t="s">
        <v>78</v>
      </c>
      <c r="F351">
        <v>1.06</v>
      </c>
      <c r="G351" t="s">
        <v>137</v>
      </c>
      <c r="H351">
        <v>1.06</v>
      </c>
      <c r="J351" s="2">
        <v>45870</v>
      </c>
      <c r="K351">
        <v>32.86</v>
      </c>
    </row>
    <row r="352" spans="1:11" x14ac:dyDescent="0.25">
      <c r="A352" t="s">
        <v>69</v>
      </c>
      <c r="B352" s="4">
        <v>45902</v>
      </c>
      <c r="C352">
        <v>24</v>
      </c>
      <c r="D352" t="s">
        <v>76</v>
      </c>
      <c r="E352" t="s">
        <v>78</v>
      </c>
      <c r="F352">
        <v>1.06</v>
      </c>
      <c r="G352" t="s">
        <v>137</v>
      </c>
      <c r="H352">
        <v>1.06</v>
      </c>
      <c r="J352" s="2">
        <v>45901</v>
      </c>
      <c r="K352">
        <v>31.8</v>
      </c>
    </row>
    <row r="353" spans="1:11" x14ac:dyDescent="0.25">
      <c r="A353" t="s">
        <v>69</v>
      </c>
      <c r="B353" s="4">
        <v>45902</v>
      </c>
      <c r="C353">
        <v>24</v>
      </c>
      <c r="D353" t="s">
        <v>76</v>
      </c>
      <c r="E353" t="s">
        <v>78</v>
      </c>
      <c r="F353">
        <v>1.06</v>
      </c>
      <c r="G353" t="s">
        <v>137</v>
      </c>
      <c r="H353">
        <v>1.06</v>
      </c>
      <c r="J353" s="2">
        <v>45931</v>
      </c>
      <c r="K353">
        <v>32.86</v>
      </c>
    </row>
    <row r="354" spans="1:11" x14ac:dyDescent="0.25">
      <c r="A354" t="s">
        <v>69</v>
      </c>
      <c r="B354" s="4">
        <v>45902</v>
      </c>
      <c r="C354">
        <v>24</v>
      </c>
      <c r="D354" t="s">
        <v>76</v>
      </c>
      <c r="E354" t="s">
        <v>78</v>
      </c>
      <c r="F354">
        <v>1.06</v>
      </c>
      <c r="G354" t="s">
        <v>137</v>
      </c>
      <c r="H354">
        <v>1.06</v>
      </c>
      <c r="J354" s="2">
        <v>45962</v>
      </c>
      <c r="K354">
        <v>31.8</v>
      </c>
    </row>
    <row r="355" spans="1:11" x14ac:dyDescent="0.25">
      <c r="A355" t="s">
        <v>69</v>
      </c>
      <c r="B355" s="4">
        <v>45902</v>
      </c>
      <c r="C355">
        <v>24</v>
      </c>
      <c r="D355" t="s">
        <v>76</v>
      </c>
      <c r="E355" t="s">
        <v>78</v>
      </c>
      <c r="F355">
        <v>1.06</v>
      </c>
      <c r="G355" t="s">
        <v>137</v>
      </c>
      <c r="H355">
        <v>1.06</v>
      </c>
      <c r="J355" s="2">
        <v>45992</v>
      </c>
      <c r="K355">
        <v>32.86</v>
      </c>
    </row>
    <row r="356" spans="1:11" x14ac:dyDescent="0.25">
      <c r="A356" t="s">
        <v>62</v>
      </c>
      <c r="B356" s="4">
        <v>45902</v>
      </c>
      <c r="C356">
        <v>24</v>
      </c>
      <c r="D356" t="s">
        <v>72</v>
      </c>
      <c r="E356" t="s">
        <v>77</v>
      </c>
      <c r="F356">
        <v>1.8</v>
      </c>
      <c r="G356" t="s">
        <v>130</v>
      </c>
      <c r="H356">
        <v>0.78</v>
      </c>
      <c r="J356" s="2">
        <v>45839</v>
      </c>
      <c r="K356">
        <v>55.8</v>
      </c>
    </row>
    <row r="357" spans="1:11" x14ac:dyDescent="0.25">
      <c r="A357" t="s">
        <v>62</v>
      </c>
      <c r="B357" s="4">
        <v>45902</v>
      </c>
      <c r="C357">
        <v>24</v>
      </c>
      <c r="D357" t="s">
        <v>72</v>
      </c>
      <c r="E357" t="s">
        <v>77</v>
      </c>
      <c r="F357">
        <v>1.8</v>
      </c>
      <c r="G357" t="s">
        <v>130</v>
      </c>
      <c r="H357">
        <v>0.78</v>
      </c>
      <c r="J357" s="2">
        <v>45870</v>
      </c>
      <c r="K357">
        <v>55.8</v>
      </c>
    </row>
    <row r="358" spans="1:11" x14ac:dyDescent="0.25">
      <c r="A358" t="s">
        <v>62</v>
      </c>
      <c r="B358" s="4">
        <v>45902</v>
      </c>
      <c r="C358">
        <v>24</v>
      </c>
      <c r="D358" t="s">
        <v>72</v>
      </c>
      <c r="E358" t="s">
        <v>77</v>
      </c>
      <c r="F358">
        <v>1.8</v>
      </c>
      <c r="G358" t="s">
        <v>130</v>
      </c>
      <c r="H358">
        <v>0.78</v>
      </c>
      <c r="J358" s="2">
        <v>45901</v>
      </c>
      <c r="K358">
        <v>54</v>
      </c>
    </row>
    <row r="359" spans="1:11" x14ac:dyDescent="0.25">
      <c r="A359" t="s">
        <v>62</v>
      </c>
      <c r="B359" s="4">
        <v>45902</v>
      </c>
      <c r="C359">
        <v>24</v>
      </c>
      <c r="D359" t="s">
        <v>72</v>
      </c>
      <c r="E359" t="s">
        <v>77</v>
      </c>
      <c r="F359">
        <v>1.8</v>
      </c>
      <c r="G359" t="s">
        <v>130</v>
      </c>
      <c r="H359">
        <v>0.78</v>
      </c>
      <c r="J359" s="2">
        <v>45931</v>
      </c>
      <c r="K359">
        <v>55.8</v>
      </c>
    </row>
    <row r="360" spans="1:11" x14ac:dyDescent="0.25">
      <c r="A360" t="s">
        <v>62</v>
      </c>
      <c r="B360" s="4">
        <v>45902</v>
      </c>
      <c r="C360">
        <v>24</v>
      </c>
      <c r="D360" t="s">
        <v>72</v>
      </c>
      <c r="E360" t="s">
        <v>77</v>
      </c>
      <c r="F360">
        <v>1.8</v>
      </c>
      <c r="G360" t="s">
        <v>130</v>
      </c>
      <c r="H360">
        <v>0.78</v>
      </c>
      <c r="J360" s="2">
        <v>45962</v>
      </c>
      <c r="K360">
        <v>54</v>
      </c>
    </row>
    <row r="361" spans="1:11" x14ac:dyDescent="0.25">
      <c r="A361" t="s">
        <v>62</v>
      </c>
      <c r="B361" s="4">
        <v>45902</v>
      </c>
      <c r="C361">
        <v>24</v>
      </c>
      <c r="D361" t="s">
        <v>72</v>
      </c>
      <c r="E361" t="s">
        <v>77</v>
      </c>
      <c r="F361">
        <v>1.8</v>
      </c>
      <c r="G361" t="s">
        <v>130</v>
      </c>
      <c r="H361">
        <v>0.78</v>
      </c>
      <c r="J361" s="2">
        <v>45992</v>
      </c>
      <c r="K361">
        <v>55.8</v>
      </c>
    </row>
    <row r="362" spans="1:11" x14ac:dyDescent="0.25">
      <c r="A362" t="s">
        <v>71</v>
      </c>
      <c r="B362" s="4">
        <v>45902</v>
      </c>
      <c r="C362">
        <v>24</v>
      </c>
      <c r="D362" t="s">
        <v>75</v>
      </c>
      <c r="E362" t="s">
        <v>78</v>
      </c>
      <c r="F362">
        <v>0</v>
      </c>
      <c r="G362" t="s">
        <v>139</v>
      </c>
      <c r="H362">
        <v>0</v>
      </c>
      <c r="J362" s="2">
        <v>45839</v>
      </c>
      <c r="K362">
        <v>0</v>
      </c>
    </row>
    <row r="363" spans="1:11" x14ac:dyDescent="0.25">
      <c r="A363" t="s">
        <v>71</v>
      </c>
      <c r="B363" s="4">
        <v>45902</v>
      </c>
      <c r="C363">
        <v>24</v>
      </c>
      <c r="D363" t="s">
        <v>75</v>
      </c>
      <c r="E363" t="s">
        <v>78</v>
      </c>
      <c r="F363">
        <v>0</v>
      </c>
      <c r="G363" t="s">
        <v>139</v>
      </c>
      <c r="H363">
        <v>0</v>
      </c>
      <c r="J363" s="2">
        <v>45870</v>
      </c>
      <c r="K363">
        <v>0</v>
      </c>
    </row>
    <row r="364" spans="1:11" x14ac:dyDescent="0.25">
      <c r="A364" t="s">
        <v>71</v>
      </c>
      <c r="B364" s="4">
        <v>45902</v>
      </c>
      <c r="C364">
        <v>24</v>
      </c>
      <c r="D364" t="s">
        <v>75</v>
      </c>
      <c r="E364" t="s">
        <v>78</v>
      </c>
      <c r="F364">
        <v>0</v>
      </c>
      <c r="G364" t="s">
        <v>139</v>
      </c>
      <c r="H364">
        <v>0</v>
      </c>
      <c r="J364" s="2">
        <v>45901</v>
      </c>
      <c r="K364">
        <v>0</v>
      </c>
    </row>
    <row r="365" spans="1:11" x14ac:dyDescent="0.25">
      <c r="A365" t="s">
        <v>71</v>
      </c>
      <c r="B365" s="4">
        <v>45902</v>
      </c>
      <c r="C365">
        <v>24</v>
      </c>
      <c r="D365" t="s">
        <v>75</v>
      </c>
      <c r="E365" t="s">
        <v>78</v>
      </c>
      <c r="F365">
        <v>0</v>
      </c>
      <c r="G365" t="s">
        <v>139</v>
      </c>
      <c r="H365">
        <v>0</v>
      </c>
      <c r="J365" s="2">
        <v>45931</v>
      </c>
      <c r="K365">
        <v>0</v>
      </c>
    </row>
    <row r="366" spans="1:11" x14ac:dyDescent="0.25">
      <c r="A366" t="s">
        <v>71</v>
      </c>
      <c r="B366" s="4">
        <v>45902</v>
      </c>
      <c r="C366">
        <v>24</v>
      </c>
      <c r="D366" t="s">
        <v>75</v>
      </c>
      <c r="E366" t="s">
        <v>78</v>
      </c>
      <c r="F366">
        <v>0</v>
      </c>
      <c r="G366" t="s">
        <v>139</v>
      </c>
      <c r="H366">
        <v>0</v>
      </c>
      <c r="J366" s="2">
        <v>45962</v>
      </c>
      <c r="K366">
        <v>0</v>
      </c>
    </row>
    <row r="367" spans="1:11" x14ac:dyDescent="0.25">
      <c r="A367" t="s">
        <v>71</v>
      </c>
      <c r="B367" s="4">
        <v>45902</v>
      </c>
      <c r="C367">
        <v>24</v>
      </c>
      <c r="D367" t="s">
        <v>75</v>
      </c>
      <c r="E367" t="s">
        <v>78</v>
      </c>
      <c r="F367">
        <v>0</v>
      </c>
      <c r="G367" t="s">
        <v>139</v>
      </c>
      <c r="H367">
        <v>0</v>
      </c>
      <c r="J367" s="2">
        <v>45992</v>
      </c>
      <c r="K367">
        <v>0</v>
      </c>
    </row>
  </sheetData>
  <autoFilter ref="A1:K1" xr:uid="{00000000-0001-0000-0000-000000000000}">
    <sortState xmlns:xlrd2="http://schemas.microsoft.com/office/spreadsheetml/2017/richdata2" ref="A2:K367">
      <sortCondition descending="1" ref="H1"/>
    </sortState>
  </autoFilter>
  <pageMargins left="0.7" right="0.7" top="0.75" bottom="0.75" header="0.3" footer="0.3"/>
  <headerFooter>
    <oddHeader>&amp;R&amp;"Calibri"&amp;10&amp;K000000 Documento: YPF-Público&amp;1#_x000D_</oddHeader>
    <oddFooter>&amp;R_x000D_&amp;1#&amp;"Calibri"&amp;10&amp;K000000 Documento: YPF-Público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A1D7D-CA3E-43D1-8793-707861CF1B7C}">
  <dimension ref="D1:E63"/>
  <sheetViews>
    <sheetView tabSelected="1" topLeftCell="A55" workbookViewId="0">
      <selection activeCell="D66" sqref="D66"/>
    </sheetView>
  </sheetViews>
  <sheetFormatPr baseColWidth="10" defaultRowHeight="15" x14ac:dyDescent="0.25"/>
  <cols>
    <col min="4" max="4" width="22.28515625" bestFit="1" customWidth="1"/>
  </cols>
  <sheetData>
    <row r="1" spans="4:5" x14ac:dyDescent="0.25">
      <c r="D1" t="str" cm="1">
        <f t="array" ref="D1:D63">+_xlfn.UNIQUE(Sheet1!A:A)</f>
        <v>NOMBRE_CORTO_POZO</v>
      </c>
      <c r="E1" t="s">
        <v>140</v>
      </c>
    </row>
    <row r="2" spans="4:5" x14ac:dyDescent="0.25">
      <c r="D2" t="str">
        <v>LLL-1396(h)</v>
      </c>
      <c r="E2">
        <f>+_xlfn.XLOOKUP(D2,Sheet1!A:A,Sheet1!$H:$H)</f>
        <v>37.14</v>
      </c>
    </row>
    <row r="3" spans="4:5" x14ac:dyDescent="0.25">
      <c r="D3" t="str">
        <v>LLL-1548(h)</v>
      </c>
      <c r="E3">
        <f>+_xlfn.XLOOKUP(D3,Sheet1!A:A,Sheet1!$H:$H)</f>
        <v>32</v>
      </c>
    </row>
    <row r="4" spans="4:5" x14ac:dyDescent="0.25">
      <c r="D4" t="str">
        <v>SOil-229(h)</v>
      </c>
      <c r="E4">
        <f>+_xlfn.XLOOKUP(D4,Sheet1!A:A,Sheet1!$H:$H)</f>
        <v>24.75</v>
      </c>
    </row>
    <row r="5" spans="4:5" x14ac:dyDescent="0.25">
      <c r="D5" t="str">
        <v>LLL-1314(h)</v>
      </c>
      <c r="E5">
        <f>+_xlfn.XLOOKUP(D5,Sheet1!A:A,Sheet1!$H:$H)</f>
        <v>22.23</v>
      </c>
    </row>
    <row r="6" spans="4:5" x14ac:dyDescent="0.25">
      <c r="D6" t="str">
        <v>LLL-1393(h)</v>
      </c>
      <c r="E6">
        <f>+_xlfn.XLOOKUP(D6,Sheet1!A:A,Sheet1!$H:$H)</f>
        <v>21.04</v>
      </c>
    </row>
    <row r="7" spans="4:5" x14ac:dyDescent="0.25">
      <c r="D7" t="str">
        <v>SOil-330(h)</v>
      </c>
      <c r="E7">
        <f>+_xlfn.XLOOKUP(D7,Sheet1!A:A,Sheet1!$H:$H)</f>
        <v>20.52</v>
      </c>
    </row>
    <row r="8" spans="4:5" x14ac:dyDescent="0.25">
      <c r="D8" t="str">
        <v>LACh-66(h)</v>
      </c>
      <c r="E8">
        <f>+_xlfn.XLOOKUP(D8,Sheet1!A:A,Sheet1!$H:$H)</f>
        <v>18.760000000000002</v>
      </c>
    </row>
    <row r="9" spans="4:5" x14ac:dyDescent="0.25">
      <c r="D9" t="str">
        <v>LLL-990(h)</v>
      </c>
      <c r="E9">
        <f>+_xlfn.XLOOKUP(D9,Sheet1!A:A,Sheet1!$H:$H)</f>
        <v>15.93</v>
      </c>
    </row>
    <row r="10" spans="4:5" x14ac:dyDescent="0.25">
      <c r="D10" t="str">
        <v>SOil-177(h)</v>
      </c>
      <c r="E10">
        <f>+_xlfn.XLOOKUP(D10,Sheet1!A:A,Sheet1!$H:$H)</f>
        <v>15</v>
      </c>
    </row>
    <row r="11" spans="4:5" x14ac:dyDescent="0.25">
      <c r="D11" t="str">
        <v>LACh-45(h)</v>
      </c>
      <c r="E11">
        <f>+_xlfn.XLOOKUP(D11,Sheet1!A:A,Sheet1!$H:$H)</f>
        <v>14.79</v>
      </c>
    </row>
    <row r="12" spans="4:5" x14ac:dyDescent="0.25">
      <c r="D12" t="str">
        <v>LLL-1559(h)</v>
      </c>
      <c r="E12">
        <f>+_xlfn.XLOOKUP(D12,Sheet1!A:A,Sheet1!$H:$H)</f>
        <v>14.42</v>
      </c>
    </row>
    <row r="13" spans="4:5" x14ac:dyDescent="0.25">
      <c r="D13" t="str">
        <v>LACh-26(h)</v>
      </c>
      <c r="E13">
        <f>+_xlfn.XLOOKUP(D13,Sheet1!A:A,Sheet1!$H:$H)</f>
        <v>13.82</v>
      </c>
    </row>
    <row r="14" spans="4:5" x14ac:dyDescent="0.25">
      <c r="D14" t="str">
        <v>LLL-1375(h)</v>
      </c>
      <c r="E14">
        <f>+_xlfn.XLOOKUP(D14,Sheet1!A:A,Sheet1!$H:$H)</f>
        <v>12.67</v>
      </c>
    </row>
    <row r="15" spans="4:5" x14ac:dyDescent="0.25">
      <c r="D15" t="str">
        <v>LACh-196(h)</v>
      </c>
      <c r="E15">
        <f>+_xlfn.XLOOKUP(D15,Sheet1!A:A,Sheet1!$H:$H)</f>
        <v>12.48</v>
      </c>
    </row>
    <row r="16" spans="4:5" x14ac:dyDescent="0.25">
      <c r="D16" t="str">
        <v>LLL-1508(h)</v>
      </c>
      <c r="E16">
        <f>+_xlfn.XLOOKUP(D16,Sheet1!A:A,Sheet1!$H:$H)</f>
        <v>11.91</v>
      </c>
    </row>
    <row r="17" spans="4:5" x14ac:dyDescent="0.25">
      <c r="D17" t="str">
        <v>LACh.x-3</v>
      </c>
      <c r="E17">
        <f>+_xlfn.XLOOKUP(D17,Sheet1!A:A,Sheet1!$H:$H)</f>
        <v>9.94</v>
      </c>
    </row>
    <row r="18" spans="4:5" x14ac:dyDescent="0.25">
      <c r="D18" t="str">
        <v>SOil-375(h)</v>
      </c>
      <c r="E18">
        <f>+_xlfn.XLOOKUP(D18,Sheet1!A:A,Sheet1!$H:$H)</f>
        <v>9.6300000000000008</v>
      </c>
    </row>
    <row r="19" spans="4:5" x14ac:dyDescent="0.25">
      <c r="D19" t="str">
        <v>LLL-993</v>
      </c>
      <c r="E19">
        <f>+_xlfn.XLOOKUP(D19,Sheet1!A:A,Sheet1!$H:$H)</f>
        <v>8.6199999999999992</v>
      </c>
    </row>
    <row r="20" spans="4:5" x14ac:dyDescent="0.25">
      <c r="D20" t="str">
        <v>SOil-31(d)</v>
      </c>
      <c r="E20">
        <f>+_xlfn.XLOOKUP(D20,Sheet1!A:A,Sheet1!$H:$H)</f>
        <v>8.24</v>
      </c>
    </row>
    <row r="21" spans="4:5" x14ac:dyDescent="0.25">
      <c r="D21" t="str">
        <v>SOil-240(h)</v>
      </c>
      <c r="E21">
        <f>+_xlfn.XLOOKUP(D21,Sheet1!A:A,Sheet1!$H:$H)</f>
        <v>7.8</v>
      </c>
    </row>
    <row r="22" spans="4:5" x14ac:dyDescent="0.25">
      <c r="D22" t="str">
        <v>SOil-314(h)</v>
      </c>
      <c r="E22">
        <f>+_xlfn.XLOOKUP(D22,Sheet1!A:A,Sheet1!$H:$H)</f>
        <v>7.76</v>
      </c>
    </row>
    <row r="23" spans="4:5" x14ac:dyDescent="0.25">
      <c r="D23" t="str">
        <v>LCav-22(h)</v>
      </c>
      <c r="E23">
        <f>+_xlfn.XLOOKUP(D23,Sheet1!A:A,Sheet1!$H:$H)</f>
        <v>7.27</v>
      </c>
    </row>
    <row r="24" spans="4:5" x14ac:dyDescent="0.25">
      <c r="D24" t="str">
        <v>SOil-311(h)</v>
      </c>
      <c r="E24">
        <f>+_xlfn.XLOOKUP(D24,Sheet1!A:A,Sheet1!$H:$H)</f>
        <v>6.8</v>
      </c>
    </row>
    <row r="25" spans="4:5" x14ac:dyDescent="0.25">
      <c r="D25" t="str">
        <v>LACh-95(h)</v>
      </c>
      <c r="E25">
        <f>+_xlfn.XLOOKUP(D25,Sheet1!A:A,Sheet1!$H:$H)</f>
        <v>6.73</v>
      </c>
    </row>
    <row r="26" spans="4:5" x14ac:dyDescent="0.25">
      <c r="D26" t="str">
        <v>SOil-72(h)</v>
      </c>
      <c r="E26">
        <f>+_xlfn.XLOOKUP(D26,Sheet1!A:A,Sheet1!$H:$H)</f>
        <v>6.58</v>
      </c>
    </row>
    <row r="27" spans="4:5" x14ac:dyDescent="0.25">
      <c r="D27" t="str">
        <v>SOil-75(d)</v>
      </c>
      <c r="E27">
        <f>+_xlfn.XLOOKUP(D27,Sheet1!A:A,Sheet1!$H:$H)</f>
        <v>6.51</v>
      </c>
    </row>
    <row r="28" spans="4:5" x14ac:dyDescent="0.25">
      <c r="D28" t="str">
        <v>LLL-1302(h)</v>
      </c>
      <c r="E28">
        <f>+_xlfn.XLOOKUP(D28,Sheet1!A:A,Sheet1!$H:$H)</f>
        <v>5.52</v>
      </c>
    </row>
    <row r="29" spans="4:5" x14ac:dyDescent="0.25">
      <c r="D29" t="str">
        <v>LACh-69(h)</v>
      </c>
      <c r="E29">
        <f>+_xlfn.XLOOKUP(D29,Sheet1!A:A,Sheet1!$H:$H)</f>
        <v>5.3</v>
      </c>
    </row>
    <row r="30" spans="4:5" x14ac:dyDescent="0.25">
      <c r="D30" t="str">
        <v>SOil-174</v>
      </c>
      <c r="E30">
        <f>+_xlfn.XLOOKUP(D30,Sheet1!A:A,Sheet1!$H:$H)</f>
        <v>5.09</v>
      </c>
    </row>
    <row r="31" spans="4:5" x14ac:dyDescent="0.25">
      <c r="D31" t="str">
        <v>SOil-354(h)</v>
      </c>
      <c r="E31">
        <f>+_xlfn.XLOOKUP(D31,Sheet1!A:A,Sheet1!$H:$H)</f>
        <v>4.97</v>
      </c>
    </row>
    <row r="32" spans="4:5" x14ac:dyDescent="0.25">
      <c r="D32" t="str">
        <v>LLL-665</v>
      </c>
      <c r="E32">
        <f>+_xlfn.XLOOKUP(D32,Sheet1!A:A,Sheet1!$H:$H)</f>
        <v>4.8899999999999997</v>
      </c>
    </row>
    <row r="33" spans="4:5" x14ac:dyDescent="0.25">
      <c r="D33" t="str">
        <v>SOil.a-2h</v>
      </c>
      <c r="E33">
        <f>+_xlfn.XLOOKUP(D33,Sheet1!A:A,Sheet1!$H:$H)</f>
        <v>4.71</v>
      </c>
    </row>
    <row r="34" spans="4:5" x14ac:dyDescent="0.25">
      <c r="D34" t="str">
        <v>LLL-1311(h)</v>
      </c>
      <c r="E34">
        <f>+_xlfn.XLOOKUP(D34,Sheet1!A:A,Sheet1!$H:$H)</f>
        <v>4.6399999999999997</v>
      </c>
    </row>
    <row r="35" spans="4:5" x14ac:dyDescent="0.25">
      <c r="D35" t="str">
        <v>SOil-264(h)</v>
      </c>
      <c r="E35">
        <f>+_xlfn.XLOOKUP(D35,Sheet1!A:A,Sheet1!$H:$H)</f>
        <v>4.54</v>
      </c>
    </row>
    <row r="36" spans="4:5" x14ac:dyDescent="0.25">
      <c r="D36" t="str">
        <v>SOil-178(h)</v>
      </c>
      <c r="E36">
        <f>+_xlfn.XLOOKUP(D36,Sheet1!A:A,Sheet1!$H:$H)</f>
        <v>3.75</v>
      </c>
    </row>
    <row r="37" spans="4:5" x14ac:dyDescent="0.25">
      <c r="D37" t="str">
        <v>LLL-1346(h)</v>
      </c>
      <c r="E37">
        <f>+_xlfn.XLOOKUP(D37,Sheet1!A:A,Sheet1!$H:$H)</f>
        <v>3.73</v>
      </c>
    </row>
    <row r="38" spans="4:5" x14ac:dyDescent="0.25">
      <c r="D38" t="str">
        <v>LLL-1592(h)</v>
      </c>
      <c r="E38">
        <f>+_xlfn.XLOOKUP(D38,Sheet1!A:A,Sheet1!$H:$H)</f>
        <v>3.39</v>
      </c>
    </row>
    <row r="39" spans="4:5" x14ac:dyDescent="0.25">
      <c r="D39" t="str">
        <v>LACh.x-4</v>
      </c>
      <c r="E39">
        <f>+_xlfn.XLOOKUP(D39,Sheet1!A:A,Sheet1!$H:$H)</f>
        <v>3.33</v>
      </c>
    </row>
    <row r="40" spans="4:5" x14ac:dyDescent="0.25">
      <c r="D40" t="str">
        <v>LLL-1445(h)</v>
      </c>
      <c r="E40">
        <f>+_xlfn.XLOOKUP(D40,Sheet1!A:A,Sheet1!$H:$H)</f>
        <v>3.3</v>
      </c>
    </row>
    <row r="41" spans="4:5" x14ac:dyDescent="0.25">
      <c r="D41" t="str">
        <v>LLL-682(d)</v>
      </c>
      <c r="E41">
        <f>+_xlfn.XLOOKUP(D41,Sheet1!A:A,Sheet1!$H:$H)</f>
        <v>3.29</v>
      </c>
    </row>
    <row r="42" spans="4:5" x14ac:dyDescent="0.25">
      <c r="D42" t="str">
        <v>SOil-13(d)</v>
      </c>
      <c r="E42">
        <f>+_xlfn.XLOOKUP(D42,Sheet1!A:A,Sheet1!$H:$H)</f>
        <v>3.22</v>
      </c>
    </row>
    <row r="43" spans="4:5" x14ac:dyDescent="0.25">
      <c r="D43" t="str">
        <v>SOil-265(h)</v>
      </c>
      <c r="E43">
        <f>+_xlfn.XLOOKUP(D43,Sheet1!A:A,Sheet1!$H:$H)</f>
        <v>3.1</v>
      </c>
    </row>
    <row r="44" spans="4:5" x14ac:dyDescent="0.25">
      <c r="D44" t="str">
        <v>LLL-673(d)</v>
      </c>
      <c r="E44">
        <f>+_xlfn.XLOOKUP(D44,Sheet1!A:A,Sheet1!$H:$H)</f>
        <v>2.84</v>
      </c>
    </row>
    <row r="45" spans="4:5" x14ac:dyDescent="0.25">
      <c r="D45" t="str">
        <v>SOil-245(h)</v>
      </c>
      <c r="E45">
        <f>+_xlfn.XLOOKUP(D45,Sheet1!A:A,Sheet1!$H:$H)</f>
        <v>2.79</v>
      </c>
    </row>
    <row r="46" spans="4:5" x14ac:dyDescent="0.25">
      <c r="D46" t="str">
        <v>SOil-252(h)</v>
      </c>
      <c r="E46">
        <f>+_xlfn.XLOOKUP(D46,Sheet1!A:A,Sheet1!$H:$H)</f>
        <v>2.74</v>
      </c>
    </row>
    <row r="47" spans="4:5" x14ac:dyDescent="0.25">
      <c r="D47" t="str">
        <v>SOil-6</v>
      </c>
      <c r="E47">
        <f>+_xlfn.XLOOKUP(D47,Sheet1!A:A,Sheet1!$H:$H)</f>
        <v>2.72</v>
      </c>
    </row>
    <row r="48" spans="4:5" x14ac:dyDescent="0.25">
      <c r="D48" t="str">
        <v>LLL-1374(h)</v>
      </c>
      <c r="E48">
        <f>+_xlfn.XLOOKUP(D48,Sheet1!A:A,Sheet1!$H:$H)</f>
        <v>2.58</v>
      </c>
    </row>
    <row r="49" spans="4:5" x14ac:dyDescent="0.25">
      <c r="D49" t="str">
        <v>SOil-309(h)</v>
      </c>
      <c r="E49">
        <f>+_xlfn.XLOOKUP(D49,Sheet1!A:A,Sheet1!$H:$H)</f>
        <v>2.4700000000000002</v>
      </c>
    </row>
    <row r="50" spans="4:5" x14ac:dyDescent="0.25">
      <c r="D50" t="str">
        <v>SOil-50(d)</v>
      </c>
      <c r="E50">
        <f>+_xlfn.XLOOKUP(D50,Sheet1!A:A,Sheet1!$H:$H)</f>
        <v>2.46</v>
      </c>
    </row>
    <row r="51" spans="4:5" x14ac:dyDescent="0.25">
      <c r="D51" t="str">
        <v>LLL-687(d)</v>
      </c>
      <c r="E51">
        <f>+_xlfn.XLOOKUP(D51,Sheet1!A:A,Sheet1!$H:$H)</f>
        <v>2.2000000000000002</v>
      </c>
    </row>
    <row r="52" spans="4:5" x14ac:dyDescent="0.25">
      <c r="D52" t="str">
        <v>SOil-30(h)</v>
      </c>
      <c r="E52">
        <f>+_xlfn.XLOOKUP(D52,Sheet1!A:A,Sheet1!$H:$H)</f>
        <v>2.13</v>
      </c>
    </row>
    <row r="53" spans="4:5" x14ac:dyDescent="0.25">
      <c r="D53" t="str">
        <v>SOil-43(d)</v>
      </c>
      <c r="E53">
        <f>+_xlfn.XLOOKUP(D53,Sheet1!A:A,Sheet1!$H:$H)</f>
        <v>2.1</v>
      </c>
    </row>
    <row r="54" spans="4:5" x14ac:dyDescent="0.25">
      <c r="D54" t="str">
        <v>SOil-258(h)</v>
      </c>
      <c r="E54">
        <f>+_xlfn.XLOOKUP(D54,Sheet1!A:A,Sheet1!$H:$H)</f>
        <v>2.0099999999999998</v>
      </c>
    </row>
    <row r="55" spans="4:5" x14ac:dyDescent="0.25">
      <c r="D55" t="str">
        <v>LLL-741(d)</v>
      </c>
      <c r="E55">
        <f>+_xlfn.XLOOKUP(D55,Sheet1!A:A,Sheet1!$H:$H)</f>
        <v>1.66</v>
      </c>
    </row>
    <row r="56" spans="4:5" x14ac:dyDescent="0.25">
      <c r="D56" t="str">
        <v>SOil-20(d)</v>
      </c>
      <c r="E56">
        <f>+_xlfn.XLOOKUP(D56,Sheet1!A:A,Sheet1!$H:$H)</f>
        <v>1.56</v>
      </c>
    </row>
    <row r="57" spans="4:5" x14ac:dyDescent="0.25">
      <c r="D57" t="str">
        <v>SOil-56(d)</v>
      </c>
      <c r="E57">
        <f>+_xlfn.XLOOKUP(D57,Sheet1!A:A,Sheet1!$H:$H)</f>
        <v>1.49</v>
      </c>
    </row>
    <row r="58" spans="4:5" x14ac:dyDescent="0.25">
      <c r="D58" t="str">
        <v>SOil-257(h)</v>
      </c>
      <c r="E58">
        <f>+_xlfn.XLOOKUP(D58,Sheet1!A:A,Sheet1!$H:$H)</f>
        <v>1.1200000000000001</v>
      </c>
    </row>
    <row r="59" spans="4:5" x14ac:dyDescent="0.25">
      <c r="D59" t="str">
        <v>SOil-236(h)</v>
      </c>
      <c r="E59">
        <f>+_xlfn.XLOOKUP(D59,Sheet1!A:A,Sheet1!$H:$H)</f>
        <v>1.08</v>
      </c>
    </row>
    <row r="60" spans="4:5" x14ac:dyDescent="0.25">
      <c r="D60" t="str">
        <v>SOil-268(h)</v>
      </c>
      <c r="E60">
        <f>+_xlfn.XLOOKUP(D60,Sheet1!A:A,Sheet1!$H:$H)</f>
        <v>1.06</v>
      </c>
    </row>
    <row r="61" spans="4:5" x14ac:dyDescent="0.25">
      <c r="D61" t="str">
        <v>SOil-73(d)</v>
      </c>
      <c r="E61">
        <f>+_xlfn.XLOOKUP(D61,Sheet1!A:A,Sheet1!$H:$H)</f>
        <v>0.78</v>
      </c>
    </row>
    <row r="62" spans="4:5" x14ac:dyDescent="0.25">
      <c r="D62" t="str">
        <v>SOil-370(h)</v>
      </c>
      <c r="E62">
        <f>+_xlfn.XLOOKUP(D62,Sheet1!A:A,Sheet1!$H:$H)</f>
        <v>0</v>
      </c>
    </row>
    <row r="63" spans="4:5" x14ac:dyDescent="0.25">
      <c r="D63">
        <v>0</v>
      </c>
      <c r="E63" t="e">
        <f>+_xlfn.XLOOKUP(D63,Sheet1!A:A,Sheet1!$H:$H)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MERCADO, DENIS ALEXIS</cp:lastModifiedBy>
  <dcterms:created xsi:type="dcterms:W3CDTF">2025-09-08T15:21:50Z</dcterms:created>
  <dcterms:modified xsi:type="dcterms:W3CDTF">2025-09-08T15:41:31Z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622c24-5861-4880-bcaa-37216e265fb3_Enabled">
    <vt:lpwstr>true</vt:lpwstr>
  </property>
  <property fmtid="{D5CDD505-2E9C-101B-9397-08002B2CF9AE}" pid="3" name="MSIP_Label_fb622c24-5861-4880-bcaa-37216e265fb3_SetDate">
    <vt:lpwstr>2025-09-08T15:23:54Z</vt:lpwstr>
  </property>
  <property fmtid="{D5CDD505-2E9C-101B-9397-08002B2CF9AE}" pid="4" name="MSIP_Label_fb622c24-5861-4880-bcaa-37216e265fb3_Method">
    <vt:lpwstr>Privileged</vt:lpwstr>
  </property>
  <property fmtid="{D5CDD505-2E9C-101B-9397-08002B2CF9AE}" pid="5" name="MSIP_Label_fb622c24-5861-4880-bcaa-37216e265fb3_Name">
    <vt:lpwstr>YPF - Publica</vt:lpwstr>
  </property>
  <property fmtid="{D5CDD505-2E9C-101B-9397-08002B2CF9AE}" pid="6" name="MSIP_Label_fb622c24-5861-4880-bcaa-37216e265fb3_SiteId">
    <vt:lpwstr>038018c3-616c-4b46-ad9b-aa9007f701b5</vt:lpwstr>
  </property>
  <property fmtid="{D5CDD505-2E9C-101B-9397-08002B2CF9AE}" pid="7" name="MSIP_Label_fb622c24-5861-4880-bcaa-37216e265fb3_ActionId">
    <vt:lpwstr>8da0a9b2-1429-4f69-a033-ee873535dfe6</vt:lpwstr>
  </property>
  <property fmtid="{D5CDD505-2E9C-101B-9397-08002B2CF9AE}" pid="8" name="MSIP_Label_fb622c24-5861-4880-bcaa-37216e265fb3_ContentBits">
    <vt:lpwstr>3</vt:lpwstr>
  </property>
  <property fmtid="{D5CDD505-2E9C-101B-9397-08002B2CF9AE}" pid="9" name="MSIP_Label_fb622c24-5861-4880-bcaa-37216e265fb3_Tag">
    <vt:lpwstr>10, 0, 1, 1</vt:lpwstr>
  </property>
</Properties>
</file>